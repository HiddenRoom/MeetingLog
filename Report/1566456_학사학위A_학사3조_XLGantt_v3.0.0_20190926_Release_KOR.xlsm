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xlganttTabId001" Type="http://schemas.microsoft.com/office/2006/relationships/ui/extensibility" Target="customUI/customUI.xml"/><Relationship Id="rId2" Type="http://schemas.microsoft.com/office/2006/relationships/ui/userCustomization" Target="NUL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74837BA0-65D6-932C-5D65-3B800EBDC722}"/>
  <workbookPr codeName="ThisWorkbook" defaultThemeVersion="153222"/>
  <mc:AlternateContent xmlns:mc="http://schemas.openxmlformats.org/markup-compatibility/2006">
    <mc:Choice Requires="x15">
      <x15ac:absPath xmlns:x15ac="http://schemas.microsoft.com/office/spreadsheetml/2010/11/ac" url="C:\Users\PC\Desktop\김주은\캡스톤\4년제\Minutes\Report\"/>
    </mc:Choice>
  </mc:AlternateContent>
  <bookViews>
    <workbookView xWindow="47880" yWindow="-120" windowWidth="29040" windowHeight="15840" tabRatio="632" firstSheet="1" activeTab="2"/>
  </bookViews>
  <sheets>
    <sheet name="Settings" sheetId="6" state="veryHidden" r:id="rId1"/>
    <sheet name="Help" sheetId="9" r:id="rId2"/>
    <sheet name="Schedule" sheetId="2" r:id="rId3"/>
    <sheet name="Progress" sheetId="3" r:id="rId4"/>
    <sheet name="AnalysisReport" sheetId="4" r:id="rId5"/>
    <sheet name="Calendar" sheetId="5" r:id="rId6"/>
    <sheet name="TranslatedLanguages" sheetId="7" state="hidden" r:id="rId7"/>
    <sheet name="Workload" sheetId="8" r:id="rId8"/>
    <sheet name="ServerData" sheetId="18" r:id="rId9"/>
  </sheets>
  <functionGroups builtInGroupCount="18"/>
  <externalReferences>
    <externalReference r:id="rId10"/>
  </externalReferences>
  <definedNames>
    <definedName name="_xlnm._FilterDatabase" localSheetId="2" hidden="1">Schedule!$P$3:$AE$4</definedName>
    <definedName name="ACTUAL_RATE" localSheetId="7">[1]Progress!$B$21</definedName>
    <definedName name="ACTUAL_RATE">Progress!$B$21</definedName>
    <definedName name="ACTUAL_WORKLOAD">Progress!$B$12</definedName>
    <definedName name="ACTUAL_WORKLOAD2">Progress!$B$15</definedName>
    <definedName name="English_Name">TranslatedLanguages!$D$1</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localSheetId="7"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PLANNED_RATE" localSheetId="7">[1]Progress!$B$18</definedName>
    <definedName name="PLANNED_RATE">Progress!$B$18</definedName>
    <definedName name="PLANNED_WORKLOAD">Progress!$B$9</definedName>
    <definedName name="_xlnm.Print_Area" localSheetId="2">Schedule!$D$1:$BR$95</definedName>
    <definedName name="RATE_GAP">Progress!$B$24</definedName>
    <definedName name="RNG_ACTUAL_END_DATE_COL_NAME">Schedule!$X$3</definedName>
    <definedName name="RNG_ACTUAL_RATE_COL_NAME">Schedule!$AE$3</definedName>
    <definedName name="RNG_ACTUAL_START_DATE_COL_NAME">Schedule!$W$3</definedName>
    <definedName name="RNG_ACTUAL_TOTAL_DURATION_COL_NAME">Schedule!$Z$3</definedName>
    <definedName name="RNG_ACTUAL_TOTAL_WORKLOAD_COL_NAME">Schedule!$Y$3</definedName>
    <definedName name="RNG_CALENDAR_COL_NAME">Schedule!$R$3</definedName>
    <definedName name="RNG_DELIVERABLES_COL_NAME">Schedule!$AC$3</definedName>
    <definedName name="RNG_END_DATE_COL_NAME">Schedule!$Q$3</definedName>
    <definedName name="RNG_ETC_COL_NAME">Schedule!$O$3</definedName>
    <definedName name="RNG_GANTT_AREA_FIRST_COL_NAME">Schedule!$AF$4</definedName>
    <definedName name="RNG_PLAN_DURATION_COL_NAME">Schedule!$V$3</definedName>
    <definedName name="RNG_PLAN_RATE_COL_NAME">Schedule!$AD$3</definedName>
    <definedName name="RNG_PLAN_WORKLOAD_COL_NAME">Schedule!$T$3</definedName>
    <definedName name="RNG_RESOURCE_COL_NAME">Schedule!$AB$3</definedName>
    <definedName name="RNG_RESOURCE_WEIGHT_COL_NAME">Schedule!$AA$3</definedName>
    <definedName name="RNG_START_DATE_COL_NAME">Schedule!$P$3</definedName>
    <definedName name="RNG_TASK_FIRST_COL_NAME">Schedule!$E$3</definedName>
    <definedName name="RNG_TOTAL_DURATION_COL_NAME">Schedule!$U$3</definedName>
    <definedName name="RNG_TOTAL_WORKLOAD_COL_NAME">Schedule!$S$3</definedName>
    <definedName name="RNG_WBS_AREA_LAST_COL_NAME" localSheetId="7">[1]Schedule!#REF!</definedName>
    <definedName name="RNG_WBS_AREA_LAST_COL_NAME">Schedule!$AE$3</definedName>
    <definedName name="RNG_WBS_COL_NAME">Schedule!$D$3</definedName>
    <definedName name="RNG_WBS_LEVEL_COL_NAME">Schedule!$C$3</definedName>
    <definedName name="STD_CAL" localSheetId="7">[1]Calendar!$B$5:$B$304</definedName>
    <definedName name="STD_CAL">Calendar!$B$5:$B$304</definedName>
    <definedName name="TOTAL_WORKLOAD">Progress!$B$6</definedName>
    <definedName name="UD_CAL1">Calendar!$E$5:$E$304</definedName>
    <definedName name="UD_CAL2">Calendar!$H$5:$H$304</definedName>
    <definedName name="Z_02FBC6E6_CD2B_48E2_BC55_64C05A10B473_.wvu.FilterData" localSheetId="2" hidden="1">Schedule!$E$4:$W$4</definedName>
    <definedName name="Z_0A64F8D9_59E4_4471_A54B_AB6085820F8B_.wvu.FilterData" localSheetId="2" hidden="1">Schedule!$E$4:$W$4</definedName>
    <definedName name="Z_0A64F8D9_59E4_4471_A54B_AB6085820F8B_.wvu.PrintArea" localSheetId="2" hidden="1">Schedule!$E$4:$AE$4</definedName>
    <definedName name="Z_0B810681_CC81_4141_9F16_24B3FD4F0FB8_.wvu.FilterData" localSheetId="2" hidden="1">Schedule!$E$4:$W$4</definedName>
    <definedName name="Z_0B810681_CC81_4141_9F16_24B3FD4F0FB8_.wvu.PrintArea" localSheetId="2" hidden="1">Schedule!$E$4:$AE$4</definedName>
    <definedName name="Z_45F170B6_3544_43F8_BFC7_D657B723AABC_.wvu.FilterData" localSheetId="2" hidden="1">Schedule!$E$4:$W$4</definedName>
    <definedName name="Z_45F170B6_3544_43F8_BFC7_D657B723AABC_.wvu.PrintArea" localSheetId="2" hidden="1">Schedule!$E$4:$AE$4</definedName>
    <definedName name="Z_6C04A49A_6140_42F5_B660_358F3428D555_.wvu.FilterData" localSheetId="2" hidden="1">Schedule!$E$4:$W$4</definedName>
    <definedName name="Z_6C04A49A_6140_42F5_B660_358F3428D555_.wvu.PrintArea" localSheetId="2" hidden="1">Schedule!$E$4:$AE$4</definedName>
    <definedName name="Z_717B341C_ADF7_4494_8FE3_F9159C14788B_.wvu.FilterData" localSheetId="2" hidden="1">Schedule!$E$4:$W$4</definedName>
    <definedName name="Z_96DEAA77_2828_4E97_975A_CF93EF5D9712_.wvu.FilterData" localSheetId="2" hidden="1">Schedule!$E$4:$W$4</definedName>
    <definedName name="Z_AF9F6769_16BA_4444_B539_537212F9672A_.wvu.FilterData" localSheetId="2" hidden="1">Schedule!$E$4:$W$4</definedName>
    <definedName name="Z_AF9F6769_16BA_4444_B539_537212F9672A_.wvu.PrintArea" localSheetId="2" hidden="1">Schedule!$E$4:$AE$4</definedName>
    <definedName name="Z_B0AA3114_3257_4D99_8E15_F0A183B56293_.wvu.FilterData" localSheetId="2" hidden="1">Schedule!$E$4:$W$4</definedName>
    <definedName name="Z_B4798534_C27D_422C_BD87_0A71D9C8BAA9_.wvu.FilterData" localSheetId="2" hidden="1">Schedule!$E$4:$W$4</definedName>
    <definedName name="Z_C7B87852_3417_4B82_AD8F_04929FC46960_.wvu.FilterData" localSheetId="2" hidden="1">Schedule!$E$4:$W$4</definedName>
    <definedName name="Z_CD147E05_78AB_4F1A_996E_7FAB0BB4629B_.wvu.FilterData" localSheetId="2" hidden="1">Schedule!$E$4:$W$4</definedName>
    <definedName name="Z_F8F33EAC_6737_4237_A48D_05833D89E8C9_.wvu.FilterData" localSheetId="2" hidden="1">Schedule!$E$4:$W$4</definedName>
    <definedName name="Z_F8F33EAC_6737_4237_A48D_05833D89E8C9_.wvu.PrintArea" localSheetId="2" hidden="1">Schedule!$E$4:$AE$4</definedName>
    <definedName name="Z_FA644498_2FA7_4E23_AA15_463455A1D2EE_.wvu.FilterData" localSheetId="2" hidden="1">Schedule!$E$4:$W$4</definedName>
  </definedNames>
  <calcPr calcId="162913" calcMode="manual"/>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E5" i="2" l="1"/>
  <c r="AQ6" i="2"/>
  <c r="AL7" i="2"/>
  <c r="AQ8" i="2"/>
  <c r="AQ9" i="2"/>
  <c r="AQ10" i="2"/>
  <c r="AU11" i="2"/>
  <c r="AY11" i="2"/>
  <c r="AF12" i="2"/>
  <c r="AK13" i="2"/>
  <c r="AO14" i="2"/>
  <c r="AS15" i="2"/>
  <c r="AY16" i="2"/>
  <c r="BF17" i="2"/>
  <c r="BF18" i="2"/>
  <c r="BG19" i="2"/>
  <c r="BG20" i="2"/>
  <c r="AT21" i="2"/>
  <c r="AZ21" i="2"/>
  <c r="AP22" i="2"/>
  <c r="AM23" i="2"/>
  <c r="AP24" i="2"/>
  <c r="AP25" i="2"/>
  <c r="AP26" i="2"/>
  <c r="AP27" i="2"/>
  <c r="AS28" i="2"/>
  <c r="AS29" i="2"/>
  <c r="AS30" i="2"/>
  <c r="AQ31" i="2"/>
  <c r="AS32" i="2"/>
  <c r="AT33" i="2"/>
  <c r="AZ33" i="2"/>
  <c r="AT34" i="2"/>
  <c r="AZ34" i="2"/>
  <c r="AT35" i="2"/>
  <c r="AZ35" i="2"/>
  <c r="AS36" i="2"/>
  <c r="AS37" i="2"/>
  <c r="AS38" i="2"/>
  <c r="AS39" i="2"/>
  <c r="AS40" i="2"/>
  <c r="AS41" i="2"/>
  <c r="AS42" i="2"/>
  <c r="AS43" i="2"/>
  <c r="AT44" i="2"/>
  <c r="AZ44" i="2"/>
  <c r="AT45" i="2"/>
  <c r="AU46" i="2"/>
  <c r="AV47" i="2"/>
  <c r="AZ47" i="2"/>
  <c r="AT48" i="2"/>
  <c r="AY48" i="2"/>
  <c r="AT49" i="2"/>
  <c r="AT50" i="2"/>
  <c r="AU51" i="2"/>
  <c r="AV52" i="2"/>
  <c r="AV53" i="2"/>
  <c r="AW54" i="2"/>
  <c r="AX55" i="2"/>
  <c r="AU56" i="2"/>
  <c r="AY56" i="2"/>
  <c r="AQ57" i="2"/>
  <c r="AP58" i="2"/>
  <c r="AQ59" i="2"/>
  <c r="AT60" i="2"/>
  <c r="AT61" i="2"/>
  <c r="AT62" i="2"/>
  <c r="AQ63" i="2"/>
  <c r="AS64" i="2"/>
  <c r="AT65" i="2"/>
  <c r="AT66" i="2"/>
  <c r="AT67" i="2"/>
  <c r="AV68" i="2"/>
  <c r="AV69" i="2"/>
  <c r="AU70" i="2"/>
  <c r="AU71" i="2"/>
  <c r="AU72" i="2"/>
  <c r="AS73" i="2"/>
  <c r="AT74" i="2"/>
  <c r="AT75" i="2"/>
  <c r="AU76" i="2"/>
  <c r="AU77" i="2"/>
  <c r="AY77" i="2"/>
  <c r="AU78" i="2"/>
  <c r="AU79" i="2"/>
  <c r="AU80" i="2"/>
  <c r="AU81" i="2"/>
  <c r="AV82" i="2"/>
  <c r="AV83" i="2"/>
  <c r="AV84" i="2"/>
  <c r="AV85" i="2"/>
  <c r="AV86" i="2"/>
  <c r="AU87" i="2"/>
  <c r="AU88" i="2"/>
  <c r="AV89" i="2"/>
  <c r="AW90" i="2"/>
  <c r="AW91" i="2"/>
  <c r="BE92" i="2"/>
  <c r="BE93" i="2"/>
  <c r="BE94" i="2"/>
  <c r="BF95" i="2"/>
  <c r="J29" i="4" l="1"/>
  <c r="G29" i="4"/>
  <c r="D29" i="4"/>
  <c r="F7" i="4" s="1"/>
  <c r="E8" i="4"/>
  <c r="E9" i="4" s="1"/>
  <c r="K7" i="4"/>
  <c r="K8" i="4" s="1"/>
  <c r="H7" i="4"/>
  <c r="E7" i="4"/>
  <c r="I7" i="4" l="1"/>
  <c r="F8" i="4"/>
  <c r="K9" i="4"/>
  <c r="L8" i="4"/>
  <c r="F9" i="4"/>
  <c r="E10" i="4"/>
  <c r="H8" i="4"/>
  <c r="L7" i="4"/>
  <c r="C5" i="5"/>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F234" i="5"/>
  <c r="F235" i="5"/>
  <c r="F236" i="5"/>
  <c r="F237" i="5"/>
  <c r="F238" i="5"/>
  <c r="F239" i="5"/>
  <c r="F240" i="5"/>
  <c r="F241" i="5"/>
  <c r="F242" i="5"/>
  <c r="F243" i="5"/>
  <c r="F244" i="5"/>
  <c r="F245" i="5"/>
  <c r="F246" i="5"/>
  <c r="F247" i="5"/>
  <c r="F248" i="5"/>
  <c r="F249" i="5"/>
  <c r="F250" i="5"/>
  <c r="F251" i="5"/>
  <c r="F252" i="5"/>
  <c r="F253" i="5"/>
  <c r="F254" i="5"/>
  <c r="F255" i="5"/>
  <c r="F256" i="5"/>
  <c r="F257" i="5"/>
  <c r="F258" i="5"/>
  <c r="F259" i="5"/>
  <c r="F260" i="5"/>
  <c r="F261" i="5"/>
  <c r="F262" i="5"/>
  <c r="F263" i="5"/>
  <c r="F264" i="5"/>
  <c r="F265" i="5"/>
  <c r="F266" i="5"/>
  <c r="F267" i="5"/>
  <c r="F268" i="5"/>
  <c r="F269" i="5"/>
  <c r="F270" i="5"/>
  <c r="F271" i="5"/>
  <c r="F272" i="5"/>
  <c r="F273" i="5"/>
  <c r="F274" i="5"/>
  <c r="F275" i="5"/>
  <c r="F276" i="5"/>
  <c r="F277" i="5"/>
  <c r="F278" i="5"/>
  <c r="F279" i="5"/>
  <c r="F280" i="5"/>
  <c r="F281" i="5"/>
  <c r="F282" i="5"/>
  <c r="F283" i="5"/>
  <c r="F284" i="5"/>
  <c r="F285" i="5"/>
  <c r="F286" i="5"/>
  <c r="F287" i="5"/>
  <c r="F288" i="5"/>
  <c r="F289" i="5"/>
  <c r="F290" i="5"/>
  <c r="F291" i="5"/>
  <c r="F292" i="5"/>
  <c r="F293" i="5"/>
  <c r="F294" i="5"/>
  <c r="F295" i="5"/>
  <c r="F296" i="5"/>
  <c r="F297" i="5"/>
  <c r="F298" i="5"/>
  <c r="F299" i="5"/>
  <c r="F300" i="5"/>
  <c r="F301" i="5"/>
  <c r="F302" i="5"/>
  <c r="F303" i="5"/>
  <c r="F304" i="5"/>
  <c r="I5" i="5"/>
  <c r="I6" i="5"/>
  <c r="I7" i="5"/>
  <c r="I8" i="5"/>
  <c r="I9" i="5"/>
  <c r="I10" i="5"/>
  <c r="I11" i="5"/>
  <c r="I12" i="5"/>
  <c r="I13" i="5"/>
  <c r="I14" i="5"/>
  <c r="I15" i="5"/>
  <c r="I16" i="5"/>
  <c r="I17" i="5"/>
  <c r="I18" i="5"/>
  <c r="I19" i="5"/>
  <c r="I20" i="5"/>
  <c r="I21" i="5"/>
  <c r="I22" i="5"/>
  <c r="I23" i="5"/>
  <c r="I24" i="5"/>
  <c r="I25" i="5"/>
  <c r="I26" i="5"/>
  <c r="I27" i="5"/>
  <c r="I28" i="5"/>
  <c r="I29" i="5"/>
  <c r="I30" i="5"/>
  <c r="I31" i="5"/>
  <c r="I32" i="5"/>
  <c r="I33" i="5"/>
  <c r="I34" i="5"/>
  <c r="I35" i="5"/>
  <c r="I36" i="5"/>
  <c r="I37" i="5"/>
  <c r="I38" i="5"/>
  <c r="I39" i="5"/>
  <c r="I40" i="5"/>
  <c r="I41" i="5"/>
  <c r="I42" i="5"/>
  <c r="I43" i="5"/>
  <c r="I44" i="5"/>
  <c r="I45" i="5"/>
  <c r="I46" i="5"/>
  <c r="I47" i="5"/>
  <c r="I48" i="5"/>
  <c r="I49" i="5"/>
  <c r="I50" i="5"/>
  <c r="I51" i="5"/>
  <c r="I52" i="5"/>
  <c r="I53" i="5"/>
  <c r="I54" i="5"/>
  <c r="I55" i="5"/>
  <c r="I56" i="5"/>
  <c r="I57" i="5"/>
  <c r="I58" i="5"/>
  <c r="I59" i="5"/>
  <c r="I60" i="5"/>
  <c r="I61" i="5"/>
  <c r="I62" i="5"/>
  <c r="I63" i="5"/>
  <c r="I64" i="5"/>
  <c r="I65" i="5"/>
  <c r="I66" i="5"/>
  <c r="I67" i="5"/>
  <c r="I68" i="5"/>
  <c r="I69" i="5"/>
  <c r="I70" i="5"/>
  <c r="I71" i="5"/>
  <c r="I72" i="5"/>
  <c r="I73" i="5"/>
  <c r="I74" i="5"/>
  <c r="I75" i="5"/>
  <c r="I76" i="5"/>
  <c r="I77" i="5"/>
  <c r="I78" i="5"/>
  <c r="I79" i="5"/>
  <c r="I80" i="5"/>
  <c r="I81" i="5"/>
  <c r="I82" i="5"/>
  <c r="I83" i="5"/>
  <c r="I84" i="5"/>
  <c r="I85" i="5"/>
  <c r="I86" i="5"/>
  <c r="I87" i="5"/>
  <c r="I88" i="5"/>
  <c r="I89" i="5"/>
  <c r="I90" i="5"/>
  <c r="I91" i="5"/>
  <c r="I92" i="5"/>
  <c r="I93" i="5"/>
  <c r="I94" i="5"/>
  <c r="I95" i="5"/>
  <c r="I96" i="5"/>
  <c r="I97" i="5"/>
  <c r="I98" i="5"/>
  <c r="I99" i="5"/>
  <c r="I100" i="5"/>
  <c r="I101" i="5"/>
  <c r="I102" i="5"/>
  <c r="I103" i="5"/>
  <c r="I104" i="5"/>
  <c r="I105" i="5"/>
  <c r="I106" i="5"/>
  <c r="I107" i="5"/>
  <c r="I108" i="5"/>
  <c r="I109" i="5"/>
  <c r="I110" i="5"/>
  <c r="I111" i="5"/>
  <c r="I112" i="5"/>
  <c r="I113" i="5"/>
  <c r="I114" i="5"/>
  <c r="I115" i="5"/>
  <c r="I116" i="5"/>
  <c r="I117" i="5"/>
  <c r="I118" i="5"/>
  <c r="I119" i="5"/>
  <c r="I120" i="5"/>
  <c r="I121" i="5"/>
  <c r="I122" i="5"/>
  <c r="I123" i="5"/>
  <c r="I124" i="5"/>
  <c r="I125" i="5"/>
  <c r="I126" i="5"/>
  <c r="I127" i="5"/>
  <c r="I128" i="5"/>
  <c r="I129" i="5"/>
  <c r="I130" i="5"/>
  <c r="I131" i="5"/>
  <c r="I132" i="5"/>
  <c r="I133" i="5"/>
  <c r="I134" i="5"/>
  <c r="I135" i="5"/>
  <c r="I136" i="5"/>
  <c r="I137" i="5"/>
  <c r="I138" i="5"/>
  <c r="I139" i="5"/>
  <c r="I140" i="5"/>
  <c r="I141" i="5"/>
  <c r="I142" i="5"/>
  <c r="I143" i="5"/>
  <c r="I144" i="5"/>
  <c r="I145" i="5"/>
  <c r="I146" i="5"/>
  <c r="I147" i="5"/>
  <c r="I148" i="5"/>
  <c r="I149" i="5"/>
  <c r="I150" i="5"/>
  <c r="I151" i="5"/>
  <c r="I152" i="5"/>
  <c r="I153" i="5"/>
  <c r="I154" i="5"/>
  <c r="I155" i="5"/>
  <c r="I156" i="5"/>
  <c r="I157" i="5"/>
  <c r="I158" i="5"/>
  <c r="I159" i="5"/>
  <c r="I160" i="5"/>
  <c r="I161" i="5"/>
  <c r="I162" i="5"/>
  <c r="I163" i="5"/>
  <c r="I164" i="5"/>
  <c r="I165" i="5"/>
  <c r="I166" i="5"/>
  <c r="I167" i="5"/>
  <c r="I168" i="5"/>
  <c r="I169" i="5"/>
  <c r="I170" i="5"/>
  <c r="I171" i="5"/>
  <c r="I172" i="5"/>
  <c r="I173" i="5"/>
  <c r="I174" i="5"/>
  <c r="I175" i="5"/>
  <c r="I176" i="5"/>
  <c r="I177" i="5"/>
  <c r="I178" i="5"/>
  <c r="I179" i="5"/>
  <c r="I180" i="5"/>
  <c r="I181" i="5"/>
  <c r="I182" i="5"/>
  <c r="I183" i="5"/>
  <c r="I184" i="5"/>
  <c r="I185" i="5"/>
  <c r="I186" i="5"/>
  <c r="I187" i="5"/>
  <c r="I188" i="5"/>
  <c r="I189" i="5"/>
  <c r="I190" i="5"/>
  <c r="I191" i="5"/>
  <c r="I192" i="5"/>
  <c r="I193" i="5"/>
  <c r="I194" i="5"/>
  <c r="I195" i="5"/>
  <c r="I196" i="5"/>
  <c r="I197" i="5"/>
  <c r="I198" i="5"/>
  <c r="I199" i="5"/>
  <c r="I200" i="5"/>
  <c r="I201" i="5"/>
  <c r="I202" i="5"/>
  <c r="I203" i="5"/>
  <c r="I204" i="5"/>
  <c r="I205" i="5"/>
  <c r="I206" i="5"/>
  <c r="I207" i="5"/>
  <c r="I208" i="5"/>
  <c r="I209" i="5"/>
  <c r="I210" i="5"/>
  <c r="I211" i="5"/>
  <c r="I212" i="5"/>
  <c r="I213" i="5"/>
  <c r="I214" i="5"/>
  <c r="I215" i="5"/>
  <c r="I216" i="5"/>
  <c r="I217" i="5"/>
  <c r="I218" i="5"/>
  <c r="I219" i="5"/>
  <c r="I220" i="5"/>
  <c r="I221" i="5"/>
  <c r="I222" i="5"/>
  <c r="I223" i="5"/>
  <c r="I224" i="5"/>
  <c r="I225" i="5"/>
  <c r="I226" i="5"/>
  <c r="I227" i="5"/>
  <c r="I228" i="5"/>
  <c r="I229" i="5"/>
  <c r="I230" i="5"/>
  <c r="I231" i="5"/>
  <c r="I232" i="5"/>
  <c r="I233" i="5"/>
  <c r="I234" i="5"/>
  <c r="I235" i="5"/>
  <c r="I236" i="5"/>
  <c r="I237" i="5"/>
  <c r="I238" i="5"/>
  <c r="I239" i="5"/>
  <c r="I240" i="5"/>
  <c r="I241" i="5"/>
  <c r="I242" i="5"/>
  <c r="I243" i="5"/>
  <c r="I244" i="5"/>
  <c r="I245" i="5"/>
  <c r="I246" i="5"/>
  <c r="I247" i="5"/>
  <c r="I248" i="5"/>
  <c r="I249" i="5"/>
  <c r="I250" i="5"/>
  <c r="I251" i="5"/>
  <c r="I252" i="5"/>
  <c r="I253" i="5"/>
  <c r="I254" i="5"/>
  <c r="I255" i="5"/>
  <c r="I256" i="5"/>
  <c r="I257" i="5"/>
  <c r="I258" i="5"/>
  <c r="I259" i="5"/>
  <c r="I260" i="5"/>
  <c r="I261" i="5"/>
  <c r="I262" i="5"/>
  <c r="I263" i="5"/>
  <c r="I264" i="5"/>
  <c r="I265" i="5"/>
  <c r="I266" i="5"/>
  <c r="I267" i="5"/>
  <c r="I268" i="5"/>
  <c r="I269" i="5"/>
  <c r="I270" i="5"/>
  <c r="I271" i="5"/>
  <c r="I272" i="5"/>
  <c r="I273" i="5"/>
  <c r="I274" i="5"/>
  <c r="I275" i="5"/>
  <c r="I276" i="5"/>
  <c r="I277" i="5"/>
  <c r="I278" i="5"/>
  <c r="I279" i="5"/>
  <c r="I280" i="5"/>
  <c r="I281" i="5"/>
  <c r="I282" i="5"/>
  <c r="I283" i="5"/>
  <c r="I284" i="5"/>
  <c r="I285" i="5"/>
  <c r="I286" i="5"/>
  <c r="I287" i="5"/>
  <c r="I288" i="5"/>
  <c r="I289" i="5"/>
  <c r="I290" i="5"/>
  <c r="I291" i="5"/>
  <c r="I292" i="5"/>
  <c r="I293" i="5"/>
  <c r="I294" i="5"/>
  <c r="I295" i="5"/>
  <c r="I296" i="5"/>
  <c r="I297" i="5"/>
  <c r="I298" i="5"/>
  <c r="I299" i="5"/>
  <c r="I300" i="5"/>
  <c r="I301" i="5"/>
  <c r="I302" i="5"/>
  <c r="I303" i="5"/>
  <c r="I304" i="5"/>
  <c r="I8" i="4" l="1"/>
  <c r="H9" i="4"/>
  <c r="F10" i="4"/>
  <c r="E11" i="4"/>
  <c r="K10" i="4"/>
  <c r="L9" i="4"/>
  <c r="B24" i="3"/>
  <c r="AE2" i="2"/>
  <c r="AE1" i="2"/>
  <c r="K11" i="4" l="1"/>
  <c r="L10" i="4"/>
  <c r="F11" i="4"/>
  <c r="E12" i="4"/>
  <c r="I9" i="4"/>
  <c r="H10" i="4"/>
  <c r="F12" i="4" l="1"/>
  <c r="E13" i="4"/>
  <c r="I10" i="4"/>
  <c r="H11" i="4"/>
  <c r="L11" i="4"/>
  <c r="K12" i="4"/>
  <c r="L12" i="4" s="1"/>
  <c r="F13" i="4" l="1"/>
  <c r="E14" i="4"/>
  <c r="H12" i="4"/>
  <c r="I12" i="4" s="1"/>
  <c r="I11" i="4"/>
  <c r="E15" i="4" l="1"/>
  <c r="F14" i="4"/>
  <c r="E16" i="4" l="1"/>
  <c r="F15" i="4"/>
  <c r="E17" i="4" l="1"/>
  <c r="F16" i="4"/>
  <c r="F17" i="4" l="1"/>
  <c r="E18" i="4"/>
  <c r="E19" i="4" l="1"/>
  <c r="F18" i="4"/>
  <c r="E20" i="4" l="1"/>
  <c r="F19" i="4"/>
  <c r="F20" i="4" l="1"/>
  <c r="E21" i="4"/>
  <c r="E22" i="4" l="1"/>
  <c r="F21" i="4"/>
  <c r="F22" i="4" l="1"/>
  <c r="E23" i="4"/>
  <c r="E24" i="4" l="1"/>
  <c r="F23" i="4"/>
  <c r="F24" i="4" l="1"/>
  <c r="E25" i="4"/>
  <c r="F25" i="4" l="1"/>
  <c r="E26" i="4"/>
  <c r="E27" i="4" l="1"/>
  <c r="F26" i="4"/>
  <c r="F27" i="4" l="1"/>
  <c r="E28" i="4"/>
  <c r="F28" i="4" s="1"/>
</calcChain>
</file>

<file path=xl/sharedStrings.xml><?xml version="1.0" encoding="utf-8"?>
<sst xmlns="http://schemas.openxmlformats.org/spreadsheetml/2006/main" count="2536" uniqueCount="1546">
  <si>
    <t>Man/Day</t>
    <phoneticPr fontId="4" type="noConversion"/>
  </si>
  <si>
    <t>Man-Day</t>
  </si>
  <si>
    <t>Man-Month</t>
  </si>
  <si>
    <t>ITEM</t>
    <phoneticPr fontId="4" type="noConversion"/>
  </si>
  <si>
    <t>VALUE1</t>
    <phoneticPr fontId="4" type="noConversion"/>
  </si>
  <si>
    <t>VALUE2</t>
    <phoneticPr fontId="4" type="noConversion"/>
  </si>
  <si>
    <t>VALUE3</t>
  </si>
  <si>
    <t>INSERTED_DATE</t>
    <phoneticPr fontId="4" type="noConversion"/>
  </si>
  <si>
    <t>UPDATED_DATE</t>
    <phoneticPr fontId="4" type="noConversion"/>
  </si>
  <si>
    <t>COMPANY</t>
    <phoneticPr fontId="4" type="noConversion"/>
  </si>
  <si>
    <t>XLWorks</t>
    <phoneticPr fontId="4" type="noConversion"/>
  </si>
  <si>
    <t>DO NOT UPDATE</t>
    <phoneticPr fontId="4" type="noConversion"/>
  </si>
  <si>
    <t>AUTHOR_EMAIL</t>
    <phoneticPr fontId="4" type="noConversion"/>
  </si>
  <si>
    <t>PROGRAM_NAME</t>
    <phoneticPr fontId="4" type="noConversion"/>
  </si>
  <si>
    <t>XLGantt</t>
  </si>
  <si>
    <t>PROGRAM_SITE</t>
    <phoneticPr fontId="4" type="noConversion"/>
  </si>
  <si>
    <t>http://xlworks.net</t>
    <phoneticPr fontId="4" type="noConversion"/>
  </si>
  <si>
    <t>PROGRAM_SITE_DISP</t>
    <phoneticPr fontId="4" type="noConversion"/>
  </si>
  <si>
    <t>VERSION</t>
    <phoneticPr fontId="4" type="noConversion"/>
  </si>
  <si>
    <t>DO NOT UPDATE</t>
    <phoneticPr fontId="4" type="noConversion"/>
  </si>
  <si>
    <t>RELEASE_DATE</t>
    <phoneticPr fontId="4" type="noConversion"/>
  </si>
  <si>
    <t>LICENSE</t>
    <phoneticPr fontId="4" type="noConversion"/>
  </si>
  <si>
    <t>Freeware</t>
    <phoneticPr fontId="4" type="noConversion"/>
  </si>
  <si>
    <t>Name:projectName</t>
  </si>
  <si>
    <t>Name:isConfirmedProjectBasicInfo</t>
  </si>
  <si>
    <t>Name:projectStartDate</t>
  </si>
  <si>
    <t>Name:projectEndDate</t>
  </si>
  <si>
    <t>Name:optScheduleChangeMgt</t>
  </si>
  <si>
    <t>Name:optPlanRateCriteriaDate</t>
  </si>
  <si>
    <t>Name:chkDeliverablesMgt</t>
    <phoneticPr fontId="4" type="noConversion"/>
  </si>
  <si>
    <t>Name:savePathType</t>
    <phoneticPr fontId="4" type="noConversion"/>
  </si>
  <si>
    <t>Name:txtDefinedPath</t>
    <phoneticPr fontId="4" type="noConversion"/>
  </si>
  <si>
    <t>Name:txtAutoDefinedBasePath</t>
    <phoneticPr fontId="4" type="noConversion"/>
  </si>
  <si>
    <t>Name:txtPgmName1</t>
    <phoneticPr fontId="4" type="noConversion"/>
  </si>
  <si>
    <t>Name:txtFileExt1</t>
  </si>
  <si>
    <t>Name:txtPgmPath1</t>
    <phoneticPr fontId="4" type="noConversion"/>
  </si>
  <si>
    <t>Name:chkInclude2SelectList1</t>
    <phoneticPr fontId="4" type="noConversion"/>
  </si>
  <si>
    <t>Name:txtPgmName2</t>
    <phoneticPr fontId="4" type="noConversion"/>
  </si>
  <si>
    <t>Name:txtFileExt2</t>
    <phoneticPr fontId="4" type="noConversion"/>
  </si>
  <si>
    <t>Name:txtPgmPath2</t>
    <phoneticPr fontId="4" type="noConversion"/>
  </si>
  <si>
    <t>Name:chkInclude2SelectList2</t>
    <phoneticPr fontId="4" type="noConversion"/>
  </si>
  <si>
    <t>Name:txtPgmName3</t>
    <phoneticPr fontId="4" type="noConversion"/>
  </si>
  <si>
    <t>Name:txtFileExt3</t>
    <phoneticPr fontId="4" type="noConversion"/>
  </si>
  <si>
    <t>Name:txtPgmPath3</t>
    <phoneticPr fontId="4" type="noConversion"/>
  </si>
  <si>
    <t>Name:chkInclude2SelectList3</t>
    <phoneticPr fontId="4" type="noConversion"/>
  </si>
  <si>
    <t>Name:txtPgmName4</t>
    <phoneticPr fontId="4" type="noConversion"/>
  </si>
  <si>
    <t>Name:txtFileExt4</t>
    <phoneticPr fontId="4" type="noConversion"/>
  </si>
  <si>
    <t>Name:txtPgmPath4</t>
    <phoneticPr fontId="4" type="noConversion"/>
  </si>
  <si>
    <t>Name:chkInclude2SelectList4</t>
    <phoneticPr fontId="4" type="noConversion"/>
  </si>
  <si>
    <t>Name:txtPgmName5</t>
    <phoneticPr fontId="4" type="noConversion"/>
  </si>
  <si>
    <t>Name:txtFileExt5</t>
    <phoneticPr fontId="4" type="noConversion"/>
  </si>
  <si>
    <t>Name:txtPgmPath5</t>
    <phoneticPr fontId="4" type="noConversion"/>
  </si>
  <si>
    <t>Name:chkInclude2SelectList5</t>
    <phoneticPr fontId="4" type="noConversion"/>
  </si>
  <si>
    <t>Name:txtPgmName6</t>
  </si>
  <si>
    <t>Name:txtFileExt6</t>
  </si>
  <si>
    <t>Name:txtPgmPath6</t>
  </si>
  <si>
    <t>Name:chkInclude2SelectList6</t>
  </si>
  <si>
    <t>Name:txtPgmName7</t>
  </si>
  <si>
    <t>Name:txtFileExt7</t>
  </si>
  <si>
    <t>Name:txtPgmPath7</t>
  </si>
  <si>
    <t>Name:chkInclude2SelectList7</t>
  </si>
  <si>
    <t>Name:txtPgmName8</t>
  </si>
  <si>
    <t>Name:txtFileExt8</t>
  </si>
  <si>
    <t>Name:txtPgmPath8</t>
  </si>
  <si>
    <t>Name:chkInclude2SelectList8</t>
  </si>
  <si>
    <t>English</t>
  </si>
  <si>
    <t>Korean</t>
  </si>
  <si>
    <t xml:space="preserve">              From                      To</t>
  </si>
  <si>
    <t xml:space="preserve">           Field Name         Example</t>
  </si>
  <si>
    <t xml:space="preserve">       Field Name           Field Value</t>
  </si>
  <si>
    <t xml:space="preserve"> Mapped</t>
  </si>
  <si>
    <t xml:space="preserve"> Setting nonworking days in the project calendar</t>
  </si>
  <si>
    <t>%Work Complete</t>
  </si>
  <si>
    <t>%Work Complete(B)</t>
  </si>
  <si>
    <t>%Work Complete(C/A)</t>
  </si>
  <si>
    <t>%Work\nComplete</t>
  </si>
  <si>
    <t>* Automactically calulated if you click the "Update Schedule" button</t>
  </si>
  <si>
    <t>* Choose a language</t>
  </si>
  <si>
    <t>* This sheet shows you tasks, workloads, progresses(%Work complete), etc by resources.</t>
  </si>
  <si>
    <t>* This sheet shows you workload allocations by resources.</t>
  </si>
  <si>
    <t>* This sheet shows you workload and %Work complete.</t>
  </si>
  <si>
    <t>* You need to click the "Progresses by Resources" button to update contents.</t>
  </si>
  <si>
    <t>* You need to click the "Workloads by Resources" button to update the contents.</t>
  </si>
  <si>
    <t>[Resources unspecified]</t>
  </si>
  <si>
    <t>{} "Outlook Appointment(s)" have been added.</t>
  </si>
  <si>
    <t>{} file does not exist.</t>
  </si>
  <si>
    <t>&lt;&lt; Remove</t>
  </si>
  <si>
    <t>&lt;&lt; Unmap</t>
  </si>
  <si>
    <t>About</t>
  </si>
  <si>
    <t>Accumulated\nMan-Day</t>
  </si>
  <si>
    <t>Actual %Complete is invalid. Enter a number only. Verify row {} of the source file.</t>
  </si>
  <si>
    <t>Actual %Work Complete from the start date to the current date</t>
  </si>
  <si>
    <t>Actual Finish Date</t>
  </si>
  <si>
    <t>Actual finish date field of a task. It must be in date format.</t>
  </si>
  <si>
    <t>Actual finish date is invalid.</t>
  </si>
  <si>
    <t>Actual finish date is invalid. Verify row {} of the source file.</t>
  </si>
  <si>
    <t>Actual progress rate(%Work Complete) field.</t>
  </si>
  <si>
    <t>Actual Start Date</t>
  </si>
  <si>
    <t>Actual start date field of a task. It must be in date format.</t>
  </si>
  <si>
    <t>Actual start date is invalid.</t>
  </si>
  <si>
    <t>Actual start date is invalid. Verify row {} of the source file.</t>
  </si>
  <si>
    <t>Actual Total\nDuration</t>
  </si>
  <si>
    <t>Actual Total\nWork(Total\nManDay)</t>
  </si>
  <si>
    <t>Actual\nFinish</t>
  </si>
  <si>
    <t>Actual\nStart</t>
  </si>
  <si>
    <t>Actual\nTotal Duration</t>
  </si>
  <si>
    <t>Actual\nTotal Work</t>
  </si>
  <si>
    <t>Actually performed workload</t>
  </si>
  <si>
    <t>Actually Performed workload when managing schedule changes</t>
  </si>
  <si>
    <t>Actually performed workload when not managing schedule changes(Total Duration x %Work Complete)</t>
  </si>
  <si>
    <t>Add &gt;&gt;</t>
  </si>
  <si>
    <t>Add Languages</t>
  </si>
  <si>
    <t>Add to MS Outlook Calendar</t>
  </si>
  <si>
    <t>After turning off filtering, we'll proceed.</t>
  </si>
  <si>
    <t>All tasks</t>
  </si>
  <si>
    <t>An error occurred while checking for updates. Please try again \nError Message: {}</t>
  </si>
  <si>
    <t>An error occurred while checking XLGantt cell formats. Please restart XLGantt.</t>
  </si>
  <si>
    <t>An error occurred while processing. Please check the messages below.</t>
  </si>
  <si>
    <t>Analysis</t>
  </si>
  <si>
    <t>Automatically defined</t>
  </si>
  <si>
    <t>Available Languages</t>
  </si>
  <si>
    <t>Because the following task already has been added, XLGantt does not add it to "Outlook".\n\nTask Name : {1} \nStart Date : {2}</t>
  </si>
  <si>
    <t>blabla</t>
  </si>
  <si>
    <t>...</t>
  </si>
  <si>
    <t>Calculation Base Date of Planned %Work Complete</t>
  </si>
  <si>
    <t>Calculation Base Date of Planned %Work Complete must be greater than or equal to project start date.</t>
  </si>
  <si>
    <t>Calculation Base Date of Planned %Work Complete must be less than or equal to project finish date.</t>
  </si>
  <si>
    <t>Calendar</t>
  </si>
  <si>
    <t>Cancel</t>
  </si>
  <si>
    <t>Chart</t>
  </si>
  <si>
    <t>Check for Updates</t>
  </si>
  <si>
    <t>Check if you save deliverables in specific directory</t>
  </si>
  <si>
    <t>Choose a language used in XLGantt</t>
  </si>
  <si>
    <t>Choose a language used in XLGantt.</t>
  </si>
  <si>
    <t>Choose a language.</t>
  </si>
  <si>
    <t>Choose directly</t>
  </si>
  <si>
    <t>Choose the Type of Deliverables</t>
  </si>
  <si>
    <t>Close</t>
  </si>
  <si>
    <t>Days (Average number of working days per month)</t>
  </si>
  <si>
    <t>Deliverables</t>
  </si>
  <si>
    <t>Deliverables field.</t>
  </si>
  <si>
    <t>Deliverables type is not selected</t>
  </si>
  <si>
    <t>Display the task name in the same field</t>
  </si>
  <si>
    <t>Display the total workload of the project</t>
  </si>
  <si>
    <t>Displays the task name in the different field for each level</t>
  </si>
  <si>
    <t>Download the latest version</t>
  </si>
  <si>
    <t>Edit a Task</t>
  </si>
  <si>
    <t>Enabled Languages</t>
  </si>
  <si>
    <t>Error! Calculated Total Man-Day is different from the Total Man-Day of the {} sheet.</t>
  </si>
  <si>
    <t>Error! Cause may be one of the following.\n * File is invalid(e.g. the XLGantt file corrupted)\n * Not XLGantt file but General Excel file\n\n Please check the messages below for details.</t>
  </si>
  <si>
    <t>Error, Invalid field specified.</t>
  </si>
  <si>
    <t>Etc</t>
  </si>
  <si>
    <t>Excel</t>
  </si>
  <si>
    <t>Execution path of Program</t>
  </si>
  <si>
    <t>Extension</t>
  </si>
  <si>
    <t>Filter</t>
  </si>
  <si>
    <t>Filter Task</t>
  </si>
  <si>
    <t>Finish</t>
  </si>
  <si>
    <t>Finish Date</t>
  </si>
  <si>
    <t>Finish date field of a task. It must be in date format.</t>
  </si>
  <si>
    <t>Finish date is invalid.</t>
  </si>
  <si>
    <t>Finish date is invalid. Verify row {} of the source file.</t>
  </si>
  <si>
    <t>Follow the language setting of your computer O/S</t>
  </si>
  <si>
    <t>Fri</t>
  </si>
  <si>
    <t>From (File to import )</t>
  </si>
  <si>
    <t>General</t>
  </si>
  <si>
    <t>If the language in source file and the language in target file are different, you can not import.</t>
  </si>
  <si>
    <t>If you choose "Assigning path by task name automatically" option, you need to set the upper path.</t>
  </si>
  <si>
    <t>If you do not enter the actual finish date of row number {1} in the {2} sheet, you can't enter "%Work Complete" as 100%.</t>
  </si>
  <si>
    <t>Import</t>
  </si>
  <si>
    <t>Import common Excel file</t>
  </si>
  <si>
    <t>Import data after clearing the existing data</t>
  </si>
  <si>
    <t>Import Data without Clearing the Existing Data</t>
  </si>
  <si>
    <t>Import files created in XLGantt</t>
  </si>
  <si>
    <t>Import new data into the Schedule sheet after clearing the exisint data</t>
  </si>
  <si>
    <t>Import new data into the Schedule sheet without clearing the existing  data</t>
  </si>
  <si>
    <t>Import Option</t>
  </si>
  <si>
    <t xml:space="preserve">Import success!\nTotal rows of imported data : </t>
  </si>
  <si>
    <t>Import without clearing the existing data.</t>
  </si>
  <si>
    <t>Import Wizard</t>
  </si>
  <si>
    <t>Importing..., Please wait...</t>
  </si>
  <si>
    <t>Indent Task</t>
  </si>
  <si>
    <t>It recalculates duration and % Work Complete. Clicking the Save button will be the same.</t>
  </si>
  <si>
    <t>It's already chosen language.</t>
  </si>
  <si>
    <t>Job Results</t>
  </si>
  <si>
    <t>John</t>
  </si>
  <si>
    <t>Language</t>
  </si>
  <si>
    <t>License</t>
  </si>
  <si>
    <t>Managing Schedule Changes</t>
  </si>
  <si>
    <t>Map &gt;&gt;</t>
  </si>
  <si>
    <t>Mapping &gt;&gt;</t>
  </si>
  <si>
    <t>mm/dd/yyyy</t>
  </si>
  <si>
    <t>mmmm yyyy</t>
  </si>
  <si>
    <t>Mon</t>
  </si>
  <si>
    <t>Name of Nonworking Days</t>
  </si>
  <si>
    <t>Next &gt;&gt;</t>
  </si>
  <si>
    <t>Nonworking Days</t>
  </si>
  <si>
    <t>Not Managing Schedule Changes</t>
  </si>
  <si>
    <t>Not Specified(Standard Calendar)</t>
  </si>
  <si>
    <t>Note</t>
  </si>
  <si>
    <t>Of the first two rows, at least one has been deleted. Please retry after changing the sheet to its previous state.</t>
  </si>
  <si>
    <t>Open Deliverables</t>
  </si>
  <si>
    <t>Outdent Task</t>
  </si>
  <si>
    <t>Outline Level</t>
  </si>
  <si>
    <t>Pick a Date</t>
  </si>
  <si>
    <t>Planned %Work Complete calculation base date</t>
  </si>
  <si>
    <t>Planned %Work Complete from the start date to the current date</t>
  </si>
  <si>
    <t>Planned %Work Complete(A)</t>
  </si>
  <si>
    <t>Planned %Work Complete(B/A)</t>
  </si>
  <si>
    <t>Planned Progress</t>
  </si>
  <si>
    <t>Planned Work(B)\nMan-day</t>
  </si>
  <si>
    <t>Planned Work\n(ManDay to Today)</t>
  </si>
  <si>
    <t>Planned workload</t>
  </si>
  <si>
    <t>Planned workload from the start date to the current date</t>
  </si>
  <si>
    <t>Planned\n%Work Complete</t>
  </si>
  <si>
    <t>Planned\nDuration</t>
  </si>
  <si>
    <t>Planned\nWork</t>
  </si>
  <si>
    <t>Please choose a type of the task field.</t>
  </si>
  <si>
    <t>Please enter the extension.</t>
  </si>
  <si>
    <t>Please enter the path where deliverables are saved.</t>
  </si>
  <si>
    <t>Please enter the program execution path.</t>
  </si>
  <si>
    <t>Please set project calendars in this sheet.</t>
  </si>
  <si>
    <t>Positive - ahead of schedule, Negative - behind schedule</t>
  </si>
  <si>
    <t>Powerpoint</t>
  </si>
  <si>
    <t>Program Info</t>
  </si>
  <si>
    <t>Program Name</t>
  </si>
  <si>
    <t>Program Site</t>
  </si>
  <si>
    <t>Progress</t>
  </si>
  <si>
    <t>Progresses by Resources</t>
  </si>
  <si>
    <t>Project Execution Plan</t>
  </si>
  <si>
    <t>Project Information</t>
  </si>
  <si>
    <t>Project Name</t>
  </si>
  <si>
    <t>Project Progress - When managing schedule changes</t>
  </si>
  <si>
    <t>Project Progress - When not managing schedule changes</t>
  </si>
  <si>
    <t>Reformatting</t>
  </si>
  <si>
    <t>Regardless of the language setting in computer O/S, you can choose a language directly</t>
  </si>
  <si>
    <t>Release Date</t>
  </si>
  <si>
    <t>Resource field.</t>
  </si>
  <si>
    <t xml:space="preserve">Rows of imported data : </t>
  </si>
  <si>
    <t>Sat</t>
  </si>
  <si>
    <t>Save</t>
  </si>
  <si>
    <t>Schedule Change Management</t>
  </si>
  <si>
    <t>Schedule update has been completed.</t>
  </si>
  <si>
    <t>Schedule Variance(B-A)</t>
  </si>
  <si>
    <t>Search for the tasks based on criteria.</t>
  </si>
  <si>
    <t xml:space="preserve">Set path by the task name automatically\n(in this case, specify the upper path of automatically assigned path) </t>
  </si>
  <si>
    <t>Set program execution paths to open deliverables</t>
  </si>
  <si>
    <t>Set saving path of deliverables</t>
  </si>
  <si>
    <t>Settings</t>
  </si>
  <si>
    <t>Specific Date</t>
  </si>
  <si>
    <t>Specific path</t>
  </si>
  <si>
    <t>Standard Calendar</t>
  </si>
  <si>
    <t>Star(*) marks-required fields, orange columns-automatically calculated</t>
  </si>
  <si>
    <t>Start</t>
  </si>
  <si>
    <t>Start Date</t>
  </si>
  <si>
    <t>Start date field of a task. It must be in date format.</t>
  </si>
  <si>
    <t>Start date is invalid.</t>
  </si>
  <si>
    <t>Start date is invalid. Verify row {} of the source file.</t>
  </si>
  <si>
    <t>Start-Finish</t>
  </si>
  <si>
    <t>Sun</t>
  </si>
  <si>
    <t>Task</t>
  </si>
  <si>
    <t>Task area was not selected. Please select a task area.</t>
  </si>
  <si>
    <t>Task Name</t>
  </si>
  <si>
    <t>Task name field.It's also referred to as "Work" or "Activity" or etc.</t>
  </si>
  <si>
    <t>Task(Task name or Name) is missing.</t>
  </si>
  <si>
    <t>The "%Work Complete" column has been deleted. Please retry after changing the sheet to its previous state.</t>
  </si>
  <si>
    <t>The "%Work Complete" of row number {1} in the {2} sheet is not a number.</t>
  </si>
  <si>
    <t>The "Actual Finish Date" column has been deleted. Please retry after changing the sheet to its previous state.</t>
  </si>
  <si>
    <t>The "Actual Start Date" column has been deleted. Please retry after changing the sheet to its previous state.</t>
  </si>
  <si>
    <t>The "Actual Total Duration" column has been deleted. Please retry after changing the sheet to its previous state.</t>
  </si>
  <si>
    <t>The "Actual Total Work" column has been deleted. Please retry after changing the sheet to its previous state.</t>
  </si>
  <si>
    <t>The "Calendar" column has been deleted. Please retry after changing the sheet to its previous state.</t>
  </si>
  <si>
    <t>The "Deliverables" column has been deleted. Please retry after changing the sheet to its previous state.</t>
  </si>
  <si>
    <t>The "Finish Date" column has been deleted. Please retry after changing the sheet to its previous state.</t>
  </si>
  <si>
    <t>The "Note" column has been deleted. Please retry after changing the sheet to its previous state.</t>
  </si>
  <si>
    <t>The "Planned %Work Complete" column has been deleted. Please retry after changing the sheet to its previous state.</t>
  </si>
  <si>
    <t>The "Planned Duration" column has been deleted. Please retry after changing the sheet to its previous state.</t>
  </si>
  <si>
    <t>The "Planned Work" column has been deleted. Please retry after changing the sheet to its previous state.</t>
  </si>
  <si>
    <t>The "Resources" column has been deleted. Please retry after changing the sheet to its previous state.</t>
  </si>
  <si>
    <t>The "Start Date" column has been deleted. Please retry after changing the sheet to its previous state.</t>
  </si>
  <si>
    <t>The "Task" column has been deleted. Please retry after changing the sheet to its previous state.</t>
  </si>
  <si>
    <t>The "Total Duration" column has been deleted. Please retry after changing the sheet to its previous state.</t>
  </si>
  <si>
    <t>The "Total Work" column has been deleted. Please retry after changing the sheet to its previous state.</t>
  </si>
  <si>
    <t>The "WBS Level" column has been deleted. Please retry after changing the sheet to its previous state.</t>
  </si>
  <si>
    <t>The "WBS" column has been deleted. Please retry after changing the sheet to its previous state.</t>
  </si>
  <si>
    <t>The "Weight" column has been deleted. Please retry after changing the sheet to its previous state.</t>
  </si>
  <si>
    <t>The actual finish date format of row number {1} in the {2} sheet is invalid.</t>
  </si>
  <si>
    <t>The actual finish date of the row number {1} in the {2} sheet was entered, but the actual start date is empty.</t>
  </si>
  <si>
    <t>The actual start date format of row number {1} in the {2} sheet is invalid.</t>
  </si>
  <si>
    <t>The actual start date of row number {1} in the {2} sheet is later than the actual finish date.</t>
  </si>
  <si>
    <t>The count of level</t>
  </si>
  <si>
    <t>The date field of row number {1} in the {2} sheet was entered, but the task field is empty.\nEnter a value in the task field or clear the date field.</t>
  </si>
  <si>
    <t>The deliverables name is empty.</t>
  </si>
  <si>
    <t>The earliest start date({1}) of the tasks is earlier than the start date({2}) of the project.\n\nIn this case, there may be problems with resource calculations. Please change the start date to valid date.</t>
  </si>
  <si>
    <t>The finish date format of row number {1} in the {2} sheet is invalid.</t>
  </si>
  <si>
    <t>The first column of Gantt area has been deleted. Please retry after changing the sheet to its previous state.</t>
  </si>
  <si>
    <t>The following file formats are not supported. You can import files with version 0.9.7 or higher than 0.9.7.</t>
  </si>
  <si>
    <t>The following file formats are not supported. You can import the files if the version is 0.9.7 or higher than 0.9.7.</t>
  </si>
  <si>
    <t>The following files have been successfully imported.</t>
  </si>
  <si>
    <t>The following folder does not exist.</t>
  </si>
  <si>
    <t>The format of "Calculation Base Date of Planned %Work Complete" is invalid.</t>
  </si>
  <si>
    <t>The format of the project finish date is invalid.</t>
  </si>
  <si>
    <t>The format of the project start date is invalid.</t>
  </si>
  <si>
    <t>The job was not completed successfully.</t>
  </si>
  <si>
    <t>The latest finish date({1}) of the tasks is later than the finish date({2}) of the project.\n\nIn this case, there may be problems with resource calculations. Please change the finish date to valid date.</t>
  </si>
  <si>
    <t>The level of row {} is invalid.</t>
  </si>
  <si>
    <t>The number of Level must be less than or equal to {}</t>
  </si>
  <si>
    <t>The number of Level must be positive integer.</t>
  </si>
  <si>
    <t>The process was terminated due to the {} sheet error.</t>
  </si>
  <si>
    <t>The project finish date({}) you entered is not valid date format.</t>
  </si>
  <si>
    <t>The project start date({}) you entered is not valid date format.</t>
  </si>
  <si>
    <t>The start date format of row number {1} in the {2} sheet is invalid.</t>
  </si>
  <si>
    <t>The start date of row number {1} in the {2} sheet is later than the finish date.</t>
  </si>
  <si>
    <t>The task of the first row of the {} sheet is not level 1.</t>
  </si>
  <si>
    <t>The type of task fields</t>
  </si>
  <si>
    <t>The weight of row number {1} in the {2} sheet is not a number.</t>
  </si>
  <si>
    <t>There are no executable programs that open the deliverables.</t>
  </si>
  <si>
    <t>There is no data in the following files</t>
  </si>
  <si>
    <t>There is no input data</t>
  </si>
  <si>
    <t>There is no input data that will be calculated.</t>
  </si>
  <si>
    <t>There is no input data.</t>
  </si>
  <si>
    <t>There is no input data. Please enter after reformatting.</t>
  </si>
  <si>
    <t>There was an error in "Progress Line" drawing. This can happen if the actual start date or actual finish date is beyond the project period. Check the message below.</t>
  </si>
  <si>
    <t>This area can not be selected. Please select an area that contains tasks.</t>
  </si>
  <si>
    <t>This Month only</t>
  </si>
  <si>
    <t>This Week only</t>
  </si>
  <si>
    <t>Thu</t>
  </si>
  <si>
    <t>Time bucket type is invalid.</t>
  </si>
  <si>
    <t>To (XLGantt)</t>
  </si>
  <si>
    <t>Today</t>
  </si>
  <si>
    <t>Today only</t>
  </si>
  <si>
    <t>Total Work(A)\nMan-day</t>
  </si>
  <si>
    <t>Total Work\n(Total ManDay)</t>
  </si>
  <si>
    <t>Total workload of the project</t>
  </si>
  <si>
    <t>Total\nDuration</t>
  </si>
  <si>
    <t>Total\nWork</t>
  </si>
  <si>
    <t>Tue</t>
  </si>
  <si>
    <t>Type a number between 0% and 100% in "%Work Complete" field of row number {1} in the {2} sheet.</t>
  </si>
  <si>
    <t>UI Design</t>
  </si>
  <si>
    <t>Unable to open file. Please change the "Check if you save deliverables in specific directory" option to the checked state in the Setting&gt;Deliverables tab.</t>
  </si>
  <si>
    <t>Update Schedule</t>
  </si>
  <si>
    <t>Updates</t>
  </si>
  <si>
    <t>Updating schedule... \nplease wait...</t>
  </si>
  <si>
    <t>User Defined Calendar 1</t>
  </si>
  <si>
    <t>User Defined Calendar 2</t>
  </si>
  <si>
    <t>Variance(Actual-Planned)</t>
  </si>
  <si>
    <t>WBS</t>
  </si>
  <si>
    <t>WBS Level is invalid. Enter a number only. Verify row {} of the source file.</t>
  </si>
  <si>
    <t>WBS No.</t>
  </si>
  <si>
    <t>Wed</t>
  </si>
  <si>
    <t>Weight</t>
  </si>
  <si>
    <t>Weight is invalid.</t>
  </si>
  <si>
    <t>Weight must be greater than zero.</t>
  </si>
  <si>
    <t>Word</t>
  </si>
  <si>
    <t>Workload\n(Man-Day)</t>
  </si>
  <si>
    <t>Workload\n(Man-Month)</t>
  </si>
  <si>
    <t>Workloads by {}</t>
  </si>
  <si>
    <t>Workloads by Resouces</t>
  </si>
  <si>
    <t>Worloads by Resources</t>
  </si>
  <si>
    <t>XLGantt Version Check</t>
  </si>
  <si>
    <t>You are using the latest version of XLGantt.\nCurrent Verison : {}</t>
  </si>
  <si>
    <t>You can add "Outlook Appointments" only on the {} sheet.</t>
  </si>
  <si>
    <t>You can edit task only on the {} sheet.</t>
  </si>
  <si>
    <t>You can indent or outdent tasks only on the {} sheet.</t>
  </si>
  <si>
    <t>You can not add "Outlook Appointments" in the selected area.</t>
  </si>
  <si>
    <t>You can not add a column between column A and C because the range is reserved by XLGantt.</t>
  </si>
  <si>
    <t>You can not edit a task in the selected area.</t>
  </si>
  <si>
    <t>You can not enter any more.</t>
  </si>
  <si>
    <t>You can not indent any more!</t>
  </si>
  <si>
    <t>You can not indent or outdent the selected row.</t>
  </si>
  <si>
    <t>You can not outdent any more!</t>
  </si>
  <si>
    <t>You can not use "Microsoft Outlook". \nMake sure you properly installed it.</t>
  </si>
  <si>
    <t>You can open deliverables only on the {} Sheet.</t>
  </si>
  <si>
    <t>You can use only start and finish dates. So you can not manage schedule changes.</t>
  </si>
  <si>
    <t xml:space="preserve">You can use start and finish dates, actual start and finish dates. You can identify the schedule is delayed or aheaded by entering actual start and finish dates. </t>
  </si>
  <si>
    <t>You can't choose a field that is empty.</t>
  </si>
  <si>
    <t>You can't import an Excel Macro file. Please import after saving it as an xls or xlsx file. If it is an XLGantt file, you can import it at the menu "Import files created in XLGantt"</t>
  </si>
  <si>
    <t>You can't remove the default languages(English and Korean).</t>
  </si>
  <si>
    <t>You didn't choose a language.</t>
  </si>
  <si>
    <t>You didn't choose a source field.</t>
  </si>
  <si>
    <t>You didn't choose a target field.</t>
  </si>
  <si>
    <t>You didn't choose an unmap item.</t>
  </si>
  <si>
    <t>You selected {} areas. Please select only one area.</t>
  </si>
  <si>
    <t>There is an error in the total workload or planned workload field of row number {1} in the {2} sheet. Please check that the start / finish date was entered correctly, or that the formula is correct.</t>
  </si>
  <si>
    <t>wbs</t>
  </si>
  <si>
    <t>task</t>
  </si>
  <si>
    <t>resource</t>
  </si>
  <si>
    <t>start</t>
  </si>
  <si>
    <t>finish</t>
  </si>
  <si>
    <t>AUTHOR_NAME</t>
    <phoneticPr fontId="4" type="noConversion"/>
  </si>
  <si>
    <t>admin@xlworks.net</t>
    <phoneticPr fontId="4" type="noConversion"/>
  </si>
  <si>
    <t>OPTIONS_GENERAL</t>
    <phoneticPr fontId="2" type="noConversion"/>
  </si>
  <si>
    <t>OPTIONS_DELIVERABLES_MGT</t>
    <phoneticPr fontId="2" type="noConversion"/>
  </si>
  <si>
    <t>OPTIONS_DELIVERABLES_PGM_PATH</t>
    <phoneticPr fontId="2" type="noConversion"/>
  </si>
  <si>
    <t>OPTIONS_WBS_GANTT</t>
    <phoneticPr fontId="2" type="noConversion"/>
  </si>
  <si>
    <t>Name:completeTaskGrayDisplay</t>
  </si>
  <si>
    <t>Name:taskDispInGroup</t>
  </si>
  <si>
    <t>Name:taskDispInSub</t>
  </si>
  <si>
    <t>Name:dateDisp</t>
  </si>
  <si>
    <t>Name:ganttColWidth</t>
  </si>
  <si>
    <t>Name:taskNameDisplayPosition</t>
  </si>
  <si>
    <t>Name:actualRateDisp</t>
  </si>
  <si>
    <t>Name:languageSelectionType</t>
  </si>
  <si>
    <t>Name:languageSelectedByManual</t>
  </si>
  <si>
    <t>Name:groupTaskInteriorGrayDisplay</t>
  </si>
  <si>
    <t>Name:setTaskDateToProjectDate</t>
  </si>
  <si>
    <t>Name:selectedLanguageList</t>
  </si>
  <si>
    <t>Name:lastTranslatedLanguage</t>
  </si>
  <si>
    <t>Name:scheduleSheetPosition</t>
  </si>
  <si>
    <t>OPTIONS_LANGUAGE</t>
    <phoneticPr fontId="2" type="noConversion"/>
  </si>
  <si>
    <t>Name:optFirstDayOfWeek</t>
  </si>
  <si>
    <t>Name:optGanttChartColumnDisplay</t>
  </si>
  <si>
    <t>Name:applyUserInputFirst</t>
  </si>
  <si>
    <t>Name:txtGanttChartZoomRatio</t>
  </si>
  <si>
    <t>Name:plannedRateDisp</t>
  </si>
  <si>
    <t>Name:chkWBSUpdateExecuteYN</t>
  </si>
  <si>
    <t>Name:chkCheckForUpdatesOnStartup</t>
  </si>
  <si>
    <t>Name:resourceDisp</t>
  </si>
  <si>
    <t>Name:taskDisp</t>
  </si>
  <si>
    <t>Name:optNonWorkingDays</t>
  </si>
  <si>
    <t>Workloads by Weeks</t>
  </si>
  <si>
    <t>* This sheet shows you workload allocations by weeks or months.</t>
  </si>
  <si>
    <t>* You need to click the "Workloads by Weeks" or "Workloads by Months" button to update the contents.</t>
  </si>
  <si>
    <t>"%Work Complete" is invalid. Type a number between 0% and 100%.</t>
  </si>
  <si>
    <t>"Outline level"(task Level) field. It displays the level of a task.Instead of "Outline level", you can use "WBS".</t>
  </si>
  <si>
    <t>"WBS"(Work Breakdown Structure) field. It displays the level of a task. Instead of WBS, you can use "Outline level".</t>
  </si>
  <si>
    <t>* Common Excel file, Not XLGantt file\n   (First row is title,from second rows are contents)\n* You can import only one file at once.</t>
  </si>
  <si>
    <t>{} "Outlook Task(s)" have been added.</t>
  </si>
  <si>
    <t>12/1/2018</t>
  </si>
  <si>
    <t>12/31/2018</t>
  </si>
  <si>
    <t>Actual Finish</t>
  </si>
  <si>
    <t>Actual Start</t>
  </si>
  <si>
    <t>Actual Total Work\nMan-day</t>
  </si>
  <si>
    <t>Add to MS Outlook Task</t>
  </si>
  <si>
    <t>Bar chart Text Display Position</t>
  </si>
  <si>
    <t>Because the following task already has been added, XLGantt does not add it to "Outlook".\n\nTask Name : {1} \nDue Date : {2}</t>
  </si>
  <si>
    <t>By %Work Complete</t>
  </si>
  <si>
    <t>By Duration</t>
  </si>
  <si>
    <t>By Resource</t>
  </si>
  <si>
    <t xml:space="preserve">Check for Updates on Startup </t>
  </si>
  <si>
    <t>Choose a file type to import</t>
  </si>
  <si>
    <t>Choose an import option.</t>
  </si>
  <si>
    <t>Completed(=100%)</t>
  </si>
  <si>
    <t>Contains</t>
  </si>
  <si>
    <t>Current Version</t>
  </si>
  <si>
    <t>Daily</t>
  </si>
  <si>
    <t>Daily view</t>
  </si>
  <si>
    <t xml:space="preserve">Days counted as Nonworking days </t>
  </si>
  <si>
    <t>Display  % Work Complete</t>
  </si>
  <si>
    <t>Display date</t>
  </si>
  <si>
    <t>Display interior color to the gray for the task groups</t>
  </si>
  <si>
    <t>Display Planned %Work Complete</t>
  </si>
  <si>
    <t>Display resource</t>
  </si>
  <si>
    <t xml:space="preserve">Display task name </t>
  </si>
  <si>
    <t>Drawing Gantt chart</t>
  </si>
  <si>
    <t>Drawing progress line</t>
  </si>
  <si>
    <t xml:space="preserve">Duration </t>
  </si>
  <si>
    <t>Equals</t>
  </si>
  <si>
    <t>First day of week</t>
  </si>
  <si>
    <t>From Date is invalid.</t>
  </si>
  <si>
    <t>Gantt Chart Display</t>
  </si>
  <si>
    <t>Gantt Chart View Style</t>
  </si>
  <si>
    <t>Included in the selection\nlist when deliverables\nnot specified</t>
  </si>
  <si>
    <t>Inside of the chart</t>
  </si>
  <si>
    <t>Left of the chart</t>
  </si>
  <si>
    <t>Monthly</t>
  </si>
  <si>
    <t>Monthly view</t>
  </si>
  <si>
    <t>Months</t>
  </si>
  <si>
    <t>New Version</t>
  </si>
  <si>
    <t>Not Completed(&lt;&gt;100%)</t>
  </si>
  <si>
    <t>Only the dates entered in the Calendar sheet</t>
  </si>
  <si>
    <t>Open Deliverables Folder</t>
  </si>
  <si>
    <t>Options</t>
  </si>
  <si>
    <t xml:space="preserve">Percent </t>
  </si>
  <si>
    <t>Project Scheduler</t>
  </si>
  <si>
    <t>Right of the chart</t>
  </si>
  <si>
    <t>Run "Update Schedule"  When Saving XLGantt File</t>
  </si>
  <si>
    <t>Select source files(Muliple Select)</t>
  </si>
  <si>
    <t>Set "the earlist start date and the lastest fisnish date of the tasks" to the Project Start-Finish date.</t>
  </si>
  <si>
    <t>The {} sheet does not exist. Please check that you changed or deleted the sheet.</t>
  </si>
  <si>
    <t>The {} sheet does not exist. Please check that you have changed or deleted the sheet.</t>
  </si>
  <si>
    <t>The actual start date of row number {1} in the {2} sheet is out of the project duration.</t>
  </si>
  <si>
    <t>The actual start or finish date of row number {1} in the {2} sheet is out of the project duration.</t>
  </si>
  <si>
    <t>The kind of period is invalid. You must enter one of the M(Months) or W(Weeks)</t>
  </si>
  <si>
    <t>The start date is later than the finish date.</t>
  </si>
  <si>
    <t>The start or finish date of row number {1} in the {2} sheet is out of the project duration.</t>
  </si>
  <si>
    <t>This XLGantt is not the latest version. Download the latest version from the following site.</t>
  </si>
  <si>
    <t>To Date is invalid.</t>
  </si>
  <si>
    <t>To import files from source to the target file, map the respective fields.\nSelect a field in source file first and then find a corresponding field in the target file.</t>
  </si>
  <si>
    <t>WBS Area Display</t>
  </si>
  <si>
    <t>WBS,Gantt Chart</t>
  </si>
  <si>
    <t>Weekly</t>
  </si>
  <si>
    <t>Weekly view</t>
  </si>
  <si>
    <t>Weeks</t>
  </si>
  <si>
    <t>Workloads by Months</t>
  </si>
  <si>
    <t>You can add "Outlook Tasks" only on the {} sheet.</t>
  </si>
  <si>
    <t>You can not add "Outlook Tasks" in the selected area.</t>
  </si>
  <si>
    <t>for import columun</t>
    <phoneticPr fontId="4" type="noConversion"/>
  </si>
  <si>
    <t>No need to enter in the Calendar sheet</t>
  </si>
  <si>
    <t>No need to enter Saturdays and Sundays in the Calendar sheet</t>
  </si>
  <si>
    <t>Once you choose "Display the task name in the same field" option, you should select a WBS No. or a WBS Level field.</t>
  </si>
  <si>
    <t>Only Saturdays and Sundays</t>
  </si>
  <si>
    <t>Please enter nonworking days only. All days other than nonworking days will be set as working days. \nWhen you enter nonworking days, XLGantt excludes them from calculations of working time.\n(However, depending on the calendar setting in the Options window, the calculation method of the nonworking day can be different)\nStandard calendar is the default calendar. If you want to specify a different calendar for a specific task, please use "User Defined Calendar 1" or "User Defined Calendar 2"</t>
    <phoneticPr fontId="2" type="noConversion"/>
  </si>
  <si>
    <t>Total__Duration</t>
    <phoneticPr fontId="4" type="noConversion"/>
  </si>
  <si>
    <t>Saturdays, Sundays and the dates entered in the Calendar sheet_x000D_</t>
    <phoneticPr fontId="2" type="noConversion"/>
  </si>
  <si>
    <t>Actual__Total Work</t>
    <phoneticPr fontId="4" type="noConversion"/>
  </si>
  <si>
    <t>Reserved</t>
    <phoneticPr fontId="4" type="noConversion"/>
  </si>
  <si>
    <t>Text Index</t>
    <phoneticPr fontId="4" type="noConversion"/>
  </si>
  <si>
    <t>Description</t>
    <phoneticPr fontId="4" type="noConversion"/>
  </si>
  <si>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phoneticPr fontId="2" type="noConversion"/>
  </si>
  <si>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phoneticPr fontId="2" type="noConversion"/>
  </si>
  <si>
    <t>Error! Cause may be one of the following.\n * File is invalid(e.g. the Excel file corrupted)\n * Data format is invalid(First row:title, from second row:contents or XLGantt file is valid)\n * If you cancel to open the file that is already opened\n\n Please check the messages below for details.</t>
    <phoneticPr fontId="2" type="noConversion"/>
  </si>
  <si>
    <t>* You can import  files created in XLGantt._x000D_
* You can import files if the version is 0.9.7 or higher than 0.9.7_x000D_
* You can import up to 10,000 records._x000D_
* You can import multiple files simultaneously.</t>
    <phoneticPr fontId="2" type="noConversion"/>
  </si>
  <si>
    <t>Project duration is too long. The earliest start date is {1} and the latest finish date is {2}, so the project duration is {3} days. The maximum number of days allowed in XLGantt is {4} days. Reduce the project duration to within the limits allowed by XLGantt.</t>
    <phoneticPr fontId="2" type="noConversion"/>
  </si>
  <si>
    <t>for import columun</t>
    <phoneticPr fontId="4" type="noConversion"/>
  </si>
  <si>
    <t>%Work__Complete</t>
    <phoneticPr fontId="4" type="noConversion"/>
  </si>
  <si>
    <t>manual input</t>
    <phoneticPr fontId="2" type="noConversion"/>
  </si>
  <si>
    <t>Actual</t>
    <phoneticPr fontId="2" type="noConversion"/>
  </si>
  <si>
    <t>실적</t>
    <phoneticPr fontId="2" type="noConversion"/>
  </si>
  <si>
    <t>Actual Total__Duration</t>
    <phoneticPr fontId="4" type="noConversion"/>
  </si>
  <si>
    <t>for import columun</t>
    <phoneticPr fontId="4" type="noConversion"/>
  </si>
  <si>
    <t>Actual__Finish</t>
    <phoneticPr fontId="4" type="noConversion"/>
  </si>
  <si>
    <t>Actual__Start</t>
    <phoneticPr fontId="4" type="noConversion"/>
  </si>
  <si>
    <t>Actual__Total Duration</t>
    <phoneticPr fontId="4" type="noConversion"/>
  </si>
  <si>
    <t>Actual\nStart-Finish</t>
    <phoneticPr fontId="2" type="noConversion"/>
  </si>
  <si>
    <t>yyyy/mm/dd</t>
    <phoneticPr fontId="2" type="noConversion"/>
  </si>
  <si>
    <t>Plan</t>
    <phoneticPr fontId="2" type="noConversion"/>
  </si>
  <si>
    <t>계획</t>
    <phoneticPr fontId="2" type="noConversion"/>
  </si>
  <si>
    <t>Planned__%Work Complete</t>
    <phoneticPr fontId="4" type="noConversion"/>
  </si>
  <si>
    <t>Planned__Duration</t>
    <phoneticPr fontId="4" type="noConversion"/>
  </si>
  <si>
    <t>Planned__Work</t>
    <phoneticPr fontId="4" type="noConversion"/>
  </si>
  <si>
    <t>Resources</t>
    <phoneticPr fontId="2" type="noConversion"/>
  </si>
  <si>
    <t>담당</t>
    <phoneticPr fontId="2" type="noConversion"/>
  </si>
  <si>
    <t>The language setting has been changed.\nPress the OK button to start translation. \nIt may take a long time to translate.\nHowever, translation of Ribbon menu and Popup menu takes effect after reopening this XLGantt file.</t>
    <phoneticPr fontId="4" type="noConversion"/>
  </si>
  <si>
    <t>Total__Work</t>
    <phoneticPr fontId="4" type="noConversion"/>
  </si>
  <si>
    <t>Would you like to update the schedule before saving?</t>
    <phoneticPr fontId="4" type="noConversion"/>
  </si>
  <si>
    <t>Name:groupRows</t>
  </si>
  <si>
    <t>Group rows</t>
    <phoneticPr fontId="2" type="noConversion"/>
  </si>
  <si>
    <t>C:\Temp</t>
    <phoneticPr fontId="4" type="noConversion"/>
  </si>
  <si>
    <t>Display font color to the gray for the completed tasks</t>
    <phoneticPr fontId="2" type="noConversion"/>
  </si>
  <si>
    <t>비고</t>
  </si>
  <si>
    <t>가중치</t>
  </si>
  <si>
    <t>담당</t>
  </si>
  <si>
    <t>산출물</t>
  </si>
  <si>
    <t>계획</t>
  </si>
  <si>
    <t>Schedule</t>
    <phoneticPr fontId="2" type="noConversion"/>
  </si>
  <si>
    <t>Progress</t>
    <phoneticPr fontId="2" type="noConversion"/>
  </si>
  <si>
    <t>AnalysisReport</t>
    <phoneticPr fontId="2" type="noConversion"/>
  </si>
  <si>
    <t>Calendar</t>
    <phoneticPr fontId="2" type="noConversion"/>
  </si>
  <si>
    <t>TranslatedLanguages</t>
    <phoneticPr fontId="2" type="noConversion"/>
  </si>
  <si>
    <t>엑셀간트(XLGantt)는 마이크로소프트 엑셀에서 프로젝트 일정관리를 할 수 있도록 만들어진 프로그램이며 아래와 같은 기능으로 구성되어 있다. 엑셀 VBA로 작성된 매크로 프로그램이므로 설치가 필요없고 매크로 파일만 실행하면 된다.</t>
    <phoneticPr fontId="20" type="noConversion"/>
  </si>
  <si>
    <t>사용법</t>
    <phoneticPr fontId="20" type="noConversion"/>
  </si>
  <si>
    <t>시트 구성</t>
    <phoneticPr fontId="20" type="noConversion"/>
  </si>
  <si>
    <t>작업과 일정을 입력하면 진척율이 계산되며 작업의 일정을 간트차트로 표시해 준다.</t>
    <phoneticPr fontId="2" type="noConversion"/>
  </si>
  <si>
    <t>작업입력, 스케줄 업데이트</t>
    <phoneticPr fontId="2" type="noConversion"/>
  </si>
  <si>
    <t>간단 사용법</t>
    <phoneticPr fontId="2" type="noConversion"/>
  </si>
  <si>
    <t>기능을 간단히 빨리 익히고 싶으면 “간단 사용법”을 참고한다</t>
    <phoneticPr fontId="2" type="noConversion"/>
  </si>
  <si>
    <t>작업명, 시작일, 완료일, 진척율을 입력하면 휴무일, 가중치를 고려하여 자동으로 작업기간, 계획진척율, 실적진척율 등이 계산된다.</t>
    <phoneticPr fontId="2" type="noConversion"/>
  </si>
  <si>
    <t>(숨겨진 시트) 언어별 번역이 들어 있다.</t>
    <phoneticPr fontId="2" type="noConversion"/>
  </si>
  <si>
    <t>Gantt Chart Zoom Ratio(Max 999%)</t>
    <phoneticPr fontId="2" type="noConversion"/>
  </si>
  <si>
    <t>Display date on timescale</t>
    <phoneticPr fontId="2" type="noConversion"/>
  </si>
  <si>
    <t>Name:dateDispOnTimescale</t>
  </si>
  <si>
    <t>ppt*</t>
    <phoneticPr fontId="4" type="noConversion"/>
  </si>
  <si>
    <t>간트차트 눈금에 날짜 표시</t>
    <phoneticPr fontId="2" type="noConversion"/>
  </si>
  <si>
    <t>메모장</t>
    <phoneticPr fontId="4" type="noConversion"/>
  </si>
  <si>
    <t>Manual</t>
    <phoneticPr fontId="2" type="noConversion"/>
  </si>
  <si>
    <t>Automatic</t>
    <phoneticPr fontId="2" type="noConversion"/>
  </si>
  <si>
    <t>Automatic Except for Data Tables</t>
    <phoneticPr fontId="2" type="noConversion"/>
  </si>
  <si>
    <t>자동</t>
    <phoneticPr fontId="2" type="noConversion"/>
  </si>
  <si>
    <t>수동</t>
    <phoneticPr fontId="2" type="noConversion"/>
  </si>
  <si>
    <t>Calculation Options</t>
    <phoneticPr fontId="2" type="noConversion"/>
  </si>
  <si>
    <t>doc*</t>
    <phoneticPr fontId="4" type="noConversion"/>
  </si>
  <si>
    <t>xls*</t>
    <phoneticPr fontId="4" type="noConversion"/>
  </si>
  <si>
    <t>txt</t>
    <phoneticPr fontId="4" type="noConversion"/>
  </si>
  <si>
    <t>E</t>
    <phoneticPr fontId="2" type="noConversion"/>
  </si>
  <si>
    <t>1:English,82:Korean</t>
    <phoneticPr fontId="2" type="noConversion"/>
  </si>
  <si>
    <t>C:\WINDOWS\system32\notepad.exe</t>
    <phoneticPr fontId="4" type="noConversion"/>
  </si>
  <si>
    <t>시작일</t>
  </si>
  <si>
    <t>완료일</t>
  </si>
  <si>
    <t>[담당자미지정]</t>
  </si>
  <si>
    <t>* 주별 또는 월별 Workload를 보여줍니다.</t>
  </si>
  <si>
    <t>* "Workload(주별)" 또는 "Workload(월별)" 메뉴를 클릭해야 내용이 갱신됩니다.</t>
  </si>
  <si>
    <t>일 (월평균 근무일수)</t>
  </si>
  <si>
    <t>차트</t>
  </si>
  <si>
    <t>Name:chkImportDataOnStartup</t>
  </si>
  <si>
    <t>작업</t>
    <phoneticPr fontId="2" type="noConversion"/>
  </si>
  <si>
    <t>일정변경관리 하지 않을 때 현재까지 실제로 진행된 작업기간을 표시함(총기간 x 총실적진행율)</t>
  </si>
  <si>
    <t>간트차트 표시방법 설정</t>
    <phoneticPr fontId="2" type="noConversion"/>
  </si>
  <si>
    <t>프로젝트 전체 진행상황 파악하기</t>
    <phoneticPr fontId="2" type="noConversion"/>
  </si>
  <si>
    <t>분석 리포트</t>
    <phoneticPr fontId="2" type="noConversion"/>
  </si>
  <si>
    <t>일정계획 변경관리</t>
  </si>
  <si>
    <t>일정계획 변경관리</t>
    <phoneticPr fontId="2" type="noConversion"/>
  </si>
  <si>
    <t>산출물 관리</t>
    <phoneticPr fontId="2" type="noConversion"/>
  </si>
  <si>
    <t>Microsoft Outlook작업, 일정등록</t>
    <phoneticPr fontId="2" type="noConversion"/>
  </si>
  <si>
    <t>다국어 지원</t>
    <phoneticPr fontId="2" type="noConversion"/>
  </si>
  <si>
    <t>다른 파일에서 일정 가져오기</t>
    <phoneticPr fontId="2" type="noConversion"/>
  </si>
  <si>
    <t>Excel기능과 통합</t>
    <phoneticPr fontId="2" type="noConversion"/>
  </si>
  <si>
    <t>Calendar관리</t>
    <phoneticPr fontId="2" type="noConversion"/>
  </si>
  <si>
    <t>작업</t>
  </si>
  <si>
    <t>총작업량</t>
  </si>
  <si>
    <t>계획작업량</t>
  </si>
  <si>
    <t>총기간</t>
  </si>
  <si>
    <t>계획기간</t>
  </si>
  <si>
    <t>실제시작일</t>
  </si>
  <si>
    <t>실제완료일</t>
  </si>
  <si>
    <t>실제총작업량</t>
  </si>
  <si>
    <t>실제총기간</t>
  </si>
  <si>
    <t>실적</t>
  </si>
  <si>
    <t>Total Work</t>
  </si>
  <si>
    <t>Planned Work</t>
  </si>
  <si>
    <t>Total Duration</t>
  </si>
  <si>
    <t>Planned Duration</t>
  </si>
  <si>
    <t>Actual Total Work</t>
  </si>
  <si>
    <t>Actual Total Duration</t>
  </si>
  <si>
    <t>Planned %Work Complete</t>
  </si>
  <si>
    <t>for importOnStartup</t>
    <phoneticPr fontId="2" type="noConversion"/>
  </si>
  <si>
    <t>* 현재 XLGantt는 영어와 한국어만 지원합니다. 다른 언어가 필요하면  아래 "언어추가"에서 다른 언어를 추가하고 TranslatedLanguages sheet에 각 언어별로 번역을 추가해야 합니다. 번역을 추가하지 않으면 기본언어인 영어로 표시됩니다(TranslatedLanguages sheet는 숨겨져 있음,Sheet메뉴에서 숨기기 취소하면 볼 수 있음)</t>
  </si>
  <si>
    <t>여기에는 프로젝트의 휴무일만 입력하세요.휴무일을 제외한 날짜는 근무일자로 설정됩니다. \n휴무일을 입력해야 작업기간 계산시 반영합니다. 입력한 일자만큼 작업기간에서 제외합니다.\n(단, 옵션창의 캘린더 설정에 따라 휴무일계산방법은 달라질 수 있습니다.)\n표준캘린더는 기본으로 적용되는 캘린더이며 특정 작업에 다른 캘린더를 지정하고 싶으면 "사용자정의 캘린더1", "사용자정의 캘린더2"에 휴무일을 지정하여 사용합니다.</t>
    <phoneticPr fontId="2" type="noConversion"/>
  </si>
  <si>
    <t>가장 빠른 작업의 시작일({1})이 프로젝트 시작일({2})보다 더 빠릅니다.\n\n가장 늦은 완료일({3})이 프로젝트 기간정보의 완료일({4})보다 더 늦습니다.\n\n이 경우 리소스 계산등에 문제가 있을 수 있습니다. 시작일,완료일을 환경설정메뉴의 프로젝트 기간내로 조정하거나 프로젝트 기간을 조정하시기 바랍니다.</t>
  </si>
  <si>
    <t>작업 중 에러가 발생했습니다. 원인은 다음 중 하나일 수 있습니다.\n - 파일이 비정상적인 경우(엑셀파일이 손상된 경우 등)\n - 자료 포맷이 틀린 경우(1행에 제목, 2행부터 내용이 들어가 있는 포맷 또는 XLGantt 파일만 허용)\n - 이미 열려있는 파일을 또 열다가 취소하는 경우\n\n 자세한 원인은 아래의 메시지를 확인하시기 바랍니다.</t>
  </si>
  <si>
    <t xml:space="preserve">* 가져올 파일이 XLGantt로 작성된 경우만 가능_x000D_
\n* XLGantt의 버전이 0.9.7 이상인 경우만 가능\n* 자료의 갯수는 10,000개 이하까지만 처리됨_x000D_
\n* 여러개의 파일 동시처리 가능_x000D_
</t>
  </si>
  <si>
    <t>프로젝트 기간이 너무 깁니다. 가장 빠른 시작일자는 {1}이고 가장 늦은 완료일자는 {2}이므로 프로젝트 기간은 {3}일입니다. XLGantt에서 허용되는 최대일수는 {4}일입니다. 프로젝트 기간을 XLGantt에서 허용하는 범위내로 줄이십시오.</t>
  </si>
  <si>
    <t>토요일,일요일 및 Calendar sheet에 입력된 날짜_x000D_</t>
    <phoneticPr fontId="2" type="noConversion"/>
  </si>
  <si>
    <t xml:space="preserve"> Source필드 명       Target필드 명</t>
  </si>
  <si>
    <t xml:space="preserve"> 필드 명                값 예시</t>
  </si>
  <si>
    <t xml:space="preserve"> 필드 명                필드 값</t>
  </si>
  <si>
    <t xml:space="preserve"> Mapping된 상태</t>
  </si>
  <si>
    <t xml:space="preserve"> 프로젝트 휴무일 Calendar 설정</t>
  </si>
  <si>
    <t>실적진척율은 0~100% 범위만 입력가능합니다.</t>
  </si>
  <si>
    <t>개요수준(작업Level)필드입니다. 작업의 Level을 표시합니다. 예를 들어 2 Level의 작업이면 숫자 2로 표시됩니다. 개요수준대신 WBS필드(1.3.2 등의 형식으로 표시)를 사용하기도 합니다.</t>
  </si>
  <si>
    <t>WBS(Work Breakdown Structure) 필드입니다. 작업의 Level을 표시합니다. 1.3.2 등의 형식으로 표시됩니다. WBS대신 개요수준(작업Level)필드를 사용하기도 합니다. 예를 들어 2 Level의 작업이면 숫자 2로 표시됩니다.</t>
  </si>
  <si>
    <t>실적진척율</t>
  </si>
  <si>
    <t>실적 진척율(B)</t>
  </si>
  <si>
    <t>실적(C/A)</t>
  </si>
  <si>
    <t>* "스케줄업데이트" 버튼 클릭 시 아래 항목이 자동계산됩니다.</t>
  </si>
  <si>
    <t>* 언어를 선택하세요</t>
  </si>
  <si>
    <t>* XLGantt 파일이 아닌 Excel파일(1행은 제목, 2행부터 내용이 있는 파일)\n* 자료갯수 제한 없음\n* 한번에 한개의 파일만 처리됨</t>
  </si>
  <si>
    <t>* 담당별로 투입된 Task와 총작업량, 계획작업량, 진척작업을 Man-day로 보여주고, 계획/실적 진행율을 보여줍니다.</t>
  </si>
  <si>
    <t>* 담당별 Workload를 보여줍니다.</t>
  </si>
  <si>
    <t>* 프로젝트 작업량과 진척율을 보여줍니다.</t>
  </si>
  <si>
    <t>* "담당별진행율" 메뉴를 클릭해야 내용이 갱신됩니다.</t>
  </si>
  <si>
    <t>* "Workload(담당별)" 메뉴를 클릭해야 내용이 갱신됩니다.</t>
  </si>
  <si>
    <t>Outlook일정이 {}건 등록되었습니다.</t>
  </si>
  <si>
    <t>Outlook작업이 {}건 등록되었습니다.</t>
  </si>
  <si>
    <t>{} 파일이 존재하지 않습니다</t>
  </si>
  <si>
    <t>&lt;&lt; 제거</t>
  </si>
  <si>
    <t>&lt;&lt; Mapping취소</t>
  </si>
  <si>
    <t>누적\nMan-Day</t>
  </si>
  <si>
    <t>실적진척율에 숫자가 아닌 값이 포함되어 있습니다. Import하는 파일의 {}행을 확인하세요.</t>
  </si>
  <si>
    <t>현재날짜까지 실제로 진행된 진척율, WBS의 "실적진척율"의 전체 합계 진척율을 표시함</t>
  </si>
  <si>
    <t>실제완료일자</t>
  </si>
  <si>
    <t>각 작업의 실제완료일(또는 실제종료일)을 표시합니다. 반드시 날짜 형식이어야 합니다.</t>
  </si>
  <si>
    <t>실제완료일의 날짜형식이 잘못되었습니다.</t>
  </si>
  <si>
    <t>실제완료일자에 날짜가 아닌 값이 포함되어 있습니다. Import하는 파일의 {}행을 확인하세요.</t>
  </si>
  <si>
    <t>실제진척율 필드입니다. 현재까지 실제 진척된 작업량을 %로 표현합니다.</t>
  </si>
  <si>
    <t>실제시작일자</t>
  </si>
  <si>
    <t>각 작업의 실제시작일을 표시합니다. 반드시 날짜 형식이어야 합니다.</t>
  </si>
  <si>
    <t>실제시작일의 날짜형식이 잘못되었습니다.</t>
  </si>
  <si>
    <t>실제시작일자에 날짜가 아닌 값이 포함되어 있습니다. Import하는 파일의 {}행을 확인하세요.</t>
  </si>
  <si>
    <t>실제 총작업량\nMan-day</t>
  </si>
  <si>
    <t>실제 총기간__(전체 기간)</t>
    <phoneticPr fontId="4" type="noConversion"/>
  </si>
  <si>
    <t>실제\n총기간</t>
  </si>
  <si>
    <t>실제 총작업량\n(총ManDay,_x000D_가중치 감안)</t>
    <phoneticPr fontId="4" type="noConversion"/>
  </si>
  <si>
    <t>실제__완료일</t>
    <phoneticPr fontId="4" type="noConversion"/>
  </si>
  <si>
    <t>실제__시작일</t>
    <phoneticPr fontId="4" type="noConversion"/>
  </si>
  <si>
    <t>실제__총기간</t>
    <phoneticPr fontId="4" type="noConversion"/>
  </si>
  <si>
    <t>실제__총작업량</t>
    <phoneticPr fontId="4" type="noConversion"/>
  </si>
  <si>
    <t>실제\n완료일</t>
    <phoneticPr fontId="2" type="noConversion"/>
  </si>
  <si>
    <t>실제\n시작일</t>
    <phoneticPr fontId="2" type="noConversion"/>
  </si>
  <si>
    <t>실제_x000D_\n시작일-완료일</t>
    <phoneticPr fontId="2" type="noConversion"/>
  </si>
  <si>
    <t>실제\n총기간</t>
    <phoneticPr fontId="2" type="noConversion"/>
  </si>
  <si>
    <t>실제\n총작업량</t>
  </si>
  <si>
    <t>일정변경 관리할 때 현재까지 실제로 투입된 작업기간을 표시함</t>
  </si>
  <si>
    <t>추가 &gt;&gt;</t>
  </si>
  <si>
    <t>언어 추가</t>
  </si>
  <si>
    <t>MS Outlook일정 등록</t>
  </si>
  <si>
    <t>MS Outlook작업 등록</t>
  </si>
  <si>
    <t>필터를 해제하고 작업을 진행합니다.</t>
  </si>
  <si>
    <t>전체 조회(필터 해제)</t>
  </si>
  <si>
    <t>최신버전 확인 중 에러가 발생했습니다. 잠시 후 다시 시도하세요.\n에러메시지 : {}</t>
  </si>
  <si>
    <t>서식check 중 에러가 발생하였습니다. XLGantt를 종료하고 다시 시작하십시오.</t>
  </si>
  <si>
    <t>처리 중 에러가 발생했습니다. 아래의 메시지를 확인하십시오.</t>
  </si>
  <si>
    <t>분석</t>
  </si>
  <si>
    <t>자동지정</t>
  </si>
  <si>
    <t>추가 가능한 언어</t>
  </si>
  <si>
    <t>Bar chart의 텍스트 표시 위치</t>
  </si>
  <si>
    <t>다음 작업은 이미 등록되어 있으므로 등록하지 않습니다.\n\n작업명 : {1} \n기한 : {2}</t>
  </si>
  <si>
    <t>다음 작업은 이미 등록되어 있으므로 등록하지 않습니다.\n\n작업명 : {1} \n시작일 : {2}</t>
  </si>
  <si>
    <t>완료율</t>
  </si>
  <si>
    <t>기간</t>
  </si>
  <si>
    <t>계획진척율 계산 기준일자</t>
  </si>
  <si>
    <t>계획진척율 계산 기준일자는 프로젝트 시작일보다 크거나 같아야 합니다.</t>
  </si>
  <si>
    <t>계획진척율 계산 기준일자는 프로젝트 완료일보다 작거나 같아야 합니다.</t>
  </si>
  <si>
    <t>취소</t>
  </si>
  <si>
    <t>프로그램 시작 시 최신버전 확인</t>
  </si>
  <si>
    <t>산출물 관리를 할 경우에 체크하세요</t>
  </si>
  <si>
    <t>가져올 파일 종류 선택</t>
  </si>
  <si>
    <t>XLGantt에서 사용할 언어 선택</t>
  </si>
  <si>
    <t>XLGantt에서 사용할 언어를 선택하세요.</t>
  </si>
  <si>
    <t>언어를 선택하세요</t>
  </si>
  <si>
    <t>가져오기 옵션을 선택하세요.</t>
  </si>
  <si>
    <t>컴퓨터 O/S와 관계없이 직접 선택</t>
  </si>
  <si>
    <t>산출물 종류를 선택하세요</t>
  </si>
  <si>
    <t>닫기</t>
  </si>
  <si>
    <t>완료</t>
  </si>
  <si>
    <t>포함</t>
  </si>
  <si>
    <t>현재 사용중인 버전</t>
  </si>
  <si>
    <t>일별</t>
  </si>
  <si>
    <t>일별보기</t>
  </si>
  <si>
    <t>휴무일로 계산되는 날</t>
  </si>
  <si>
    <t>산출물 필드입니다.</t>
  </si>
  <si>
    <t>산출물 종류가 선택되지 않았습니다</t>
  </si>
  <si>
    <t>실적진척율 표시</t>
  </si>
  <si>
    <t>날짜 표시</t>
  </si>
  <si>
    <t>완료된 작업의 폰트색상 회색표시</t>
  </si>
  <si>
    <t>작업그룹의 배경색 회색표시</t>
  </si>
  <si>
    <t>계획진척율 표시</t>
  </si>
  <si>
    <t>담당 표시</t>
  </si>
  <si>
    <t>작업명 표시</t>
  </si>
  <si>
    <t>같은 필드에 작업명 표시</t>
  </si>
  <si>
    <t>프로젝트 전체의 작업량을 Man/Day로 표시한다. 가중치를 적용한 값이다.</t>
  </si>
  <si>
    <t>Level별로 다른 필드에 작업명 표시</t>
  </si>
  <si>
    <t>프로그램 최신버전 다운로드</t>
  </si>
  <si>
    <t>Gantt chart 그리기 작업</t>
  </si>
  <si>
    <t>진척율선 그리기</t>
  </si>
  <si>
    <t>기간 지정</t>
  </si>
  <si>
    <t>작업 정보</t>
  </si>
  <si>
    <t>사용할 수 있는 언어</t>
  </si>
  <si>
    <t>같음</t>
  </si>
  <si>
    <t>오류! 계산된 Total Man-Day가 {} sheet의 Total Man-Day와 다릅니다.</t>
  </si>
  <si>
    <t>작업 중 에러가 발생했습니다. 원인은 다음 중 하나일 수 있습니다.\n - 파일이 비정상적인 경우(XLGantt파일이 손상된 경우 등)\n - XLGantt 파일이 아닌 일반 엑셀파일인 경우\n\n 자세한 원인은 아래의 메시지를 확인하시기 바랍니다.</t>
  </si>
  <si>
    <t>오류, 지정할 수 없는 필드가 있습니다</t>
  </si>
  <si>
    <t>기타</t>
    <phoneticPr fontId="2" type="noConversion"/>
  </si>
  <si>
    <t>엑셀</t>
  </si>
  <si>
    <t>프로그램 실행경로</t>
  </si>
  <si>
    <t>확장자명</t>
  </si>
  <si>
    <t>필터 적용</t>
  </si>
  <si>
    <t>작업 필터</t>
  </si>
  <si>
    <t>완료일자</t>
  </si>
  <si>
    <t>각 작업의 완료일(또는 종료일)을 표시합니다. 반드시 날짜 형식이어야 합니다.</t>
  </si>
  <si>
    <t>작업완료일의 날짜형식이 잘못되었습니다.</t>
  </si>
  <si>
    <t>완료일자에 날짜가 아닌 값이 포함되어 있습니다. Import하는 파일의 {}행을 확인하세요.</t>
  </si>
  <si>
    <t>한주의 시작요일</t>
  </si>
  <si>
    <t>컴퓨터 O/S의 언어설정을 따름</t>
  </si>
  <si>
    <t>금</t>
  </si>
  <si>
    <t>Source파일(가져올 파일 )</t>
  </si>
  <si>
    <t>시작날짜 형식이 잘못되었습니다.</t>
  </si>
  <si>
    <t>Gantt chart표시 방법</t>
  </si>
  <si>
    <t>Gantt Chart 보기 형식</t>
  </si>
  <si>
    <t>Gantt Chart 축소/확대 비율(최대 999%)</t>
    <phoneticPr fontId="2" type="noConversion"/>
  </si>
  <si>
    <t>일반</t>
    <phoneticPr fontId="2" type="noConversion"/>
  </si>
  <si>
    <t>가져오는 파일(소스파일)에 설정된 언어와 이 파일(타겟파일)에 설정된 언어가 다르면 Import할 수 없습니다.</t>
  </si>
  <si>
    <t>작업명으로 하위 경로 자동지정을 선택한 경우에는 상위의 기본경로를 설정해야 합니다.</t>
  </si>
  <si>
    <t>{2} sheet의 {1}행의 실제시작일만 입력하고 실제완료일을 비워놓으면 완료율을 100%로 입력할 수 없습니다.</t>
  </si>
  <si>
    <t>가져오기</t>
  </si>
  <si>
    <t>일반 Excel 파일</t>
  </si>
  <si>
    <t>기존Data 지우고 가져오기</t>
  </si>
  <si>
    <t>기존Data 아래에 추가하기</t>
  </si>
  <si>
    <t>XLGantt로 작성된 파일 가져오기</t>
  </si>
  <si>
    <t>이 XLGantt파일에 있는 Data를 지우고 새로운 Data를 가져와서 _x000D_
붙여 넣기</t>
  </si>
  <si>
    <t>이 XLGantt파일에 있는 Data를 그대로 두고 맨 아래에 새로운 Data를 가져와서 붙여 넣기</t>
  </si>
  <si>
    <t>가져오기 옵션</t>
  </si>
  <si>
    <t xml:space="preserve">가져오기 작업이 정상적으로 완료되었습니다.\n가져온 자료의 전체 행수 : </t>
  </si>
  <si>
    <t>기존Data에 추가하기</t>
  </si>
  <si>
    <t>파일 가져오기</t>
  </si>
  <si>
    <t>자료를 가져옵니다. 잠시만 기다려주세요...</t>
  </si>
  <si>
    <t>산출물명 비었을때\n선택목록에 포함\n여부</t>
  </si>
  <si>
    <t>작업레벨 내림</t>
  </si>
  <si>
    <t>Chart 내부</t>
  </si>
  <si>
    <t>이미 선택된 언어입니다.</t>
  </si>
  <si>
    <t>작업결과</t>
  </si>
  <si>
    <t>홍길동</t>
  </si>
  <si>
    <t>언어</t>
    <phoneticPr fontId="2" type="noConversion"/>
  </si>
  <si>
    <t>Chart 왼쪽</t>
  </si>
  <si>
    <t>라이선스</t>
  </si>
  <si>
    <t>일정변경 관리함(시작일/완료일, 실제시작일/실제완료일 사용)</t>
  </si>
  <si>
    <t>yyyy년 m월</t>
  </si>
  <si>
    <t>월</t>
  </si>
  <si>
    <t>월별</t>
  </si>
  <si>
    <t>월별보기</t>
  </si>
  <si>
    <t>휴무일명</t>
  </si>
  <si>
    <t>최신 버전</t>
  </si>
  <si>
    <t>다음 &gt;&gt;</t>
  </si>
  <si>
    <t>Calendar sheet에 입력할 필요 없음</t>
  </si>
  <si>
    <t>토요일,일요일은 Calendar sheet에 입력할 필요 없음</t>
    <phoneticPr fontId="2" type="noConversion"/>
  </si>
  <si>
    <t>휴무일자</t>
  </si>
  <si>
    <t>미완료</t>
  </si>
  <si>
    <t>일정변경 관리 안함(시작일/완료일만 사용)</t>
  </si>
  <si>
    <t>지정하지 않음(표준캘린더)</t>
  </si>
  <si>
    <t>1~2행 중 한 행이 삭제되었습니다. 원래대로 복구한 후 작업하십시오.</t>
  </si>
  <si>
    <t>"같은 필드에 작업명 표시" 옵션을 선택했으면 WBS No. 또는 개요수준(WBS Level) 필드 중 하나는 선택되어야 합니다</t>
  </si>
  <si>
    <t>토요일,일요일만</t>
    <phoneticPr fontId="2" type="noConversion"/>
  </si>
  <si>
    <t>Calendar sheet에 입력된 날짜만</t>
    <phoneticPr fontId="2" type="noConversion"/>
  </si>
  <si>
    <t>산출물 열기</t>
  </si>
  <si>
    <t>산출물 폴더 열기</t>
  </si>
  <si>
    <t>옵션</t>
  </si>
  <si>
    <t>작업레벨 올림</t>
  </si>
  <si>
    <t>개요수준</t>
  </si>
  <si>
    <t>퍼센트 지정</t>
  </si>
  <si>
    <t>날짜 선택</t>
  </si>
  <si>
    <t>계획진척율 계산 기준일자</t>
    <phoneticPr fontId="2" type="noConversion"/>
  </si>
  <si>
    <t>현재날짜까지 계획된 진척율, WBS의 "계획진척율"의 전체 합계 진척율을 표시함</t>
  </si>
  <si>
    <t>계획 진척율(A)</t>
  </si>
  <si>
    <t>계획(B/A)</t>
  </si>
  <si>
    <t>계획진척율</t>
  </si>
  <si>
    <t>계획작업량(B)\nMan-day</t>
  </si>
  <si>
    <t>계획 작업량_x000D_
(현재일까지ManDay,_x000D_
가중치 감안)</t>
  </si>
  <si>
    <t>현재일까지 계획된 작업량</t>
  </si>
  <si>
    <t>해당작업의 시작일부터 현재일까지의 작업기간을 의미함(현재 날짜까지 진행되었어야 할 기간)</t>
  </si>
  <si>
    <t>계획__기간</t>
    <phoneticPr fontId="4" type="noConversion"/>
  </si>
  <si>
    <t>계획__작업량</t>
    <phoneticPr fontId="4" type="noConversion"/>
  </si>
  <si>
    <t>계획\n기간</t>
  </si>
  <si>
    <t>계획\n작업량</t>
  </si>
  <si>
    <t>작업필드의 유형을 선택하세요.</t>
  </si>
  <si>
    <t>확장자명을 입력하세요.</t>
  </si>
  <si>
    <t>산출물이 저장될 특정경로를 입력하세요.</t>
  </si>
  <si>
    <t>프로그램 실행경로를 입력하세요.</t>
  </si>
  <si>
    <t>이 Sheet에서 프로젝트 Calendar를 설정하세요.</t>
  </si>
  <si>
    <t>양수이면 계획보다 빨리 진행, 음수이면 지연</t>
  </si>
  <si>
    <t>파워포인트</t>
  </si>
  <si>
    <t>프로그램 정보</t>
  </si>
  <si>
    <t>프로그램명</t>
  </si>
  <si>
    <t>프로그램 사이트</t>
  </si>
  <si>
    <t>진척율</t>
  </si>
  <si>
    <t>프로젝트수행계획서</t>
  </si>
  <si>
    <t>프로젝트 정보</t>
  </si>
  <si>
    <t>프로젝트명</t>
  </si>
  <si>
    <t>컴퓨터 O/S에 설정된 언어와 관계없이 사용자가 표시할 언어를 직접 선택할 수 _x000D_
있습니다.</t>
  </si>
  <si>
    <t>릴리즈 일자</t>
  </si>
  <si>
    <t>자원 필드입니다. 담당자, 리소스 등의 이름으로 불리기도 합니다. 해당 작업의 담당자를 표시합니다</t>
  </si>
  <si>
    <t>Chart 오른쪽</t>
  </si>
  <si>
    <t xml:space="preserve">가져온 자료의 행수 : </t>
  </si>
  <si>
    <t>토</t>
  </si>
  <si>
    <t>저장</t>
  </si>
  <si>
    <t>스케줄업데이트 작업이 완료되었습니다.</t>
  </si>
  <si>
    <t>차이(B-A)</t>
  </si>
  <si>
    <t>가져올 파일을 선택하세요(다중선택가능)</t>
  </si>
  <si>
    <t>Task의 가장 빠른 시작일과 가장 늦은 완료일을 프로젝트 기간으로 자동설정</t>
  </si>
  <si>
    <t xml:space="preserve">작업명으로 경로 자동지정(이 경우 자동지정된 경로의 상위경로를 입력) </t>
  </si>
  <si>
    <t>산출물열기 프로그램 실행경로 지정</t>
  </si>
  <si>
    <t>산출물 저장경로</t>
  </si>
  <si>
    <t>설정</t>
  </si>
  <si>
    <t>특정날짜</t>
  </si>
  <si>
    <t>특정 경로</t>
  </si>
  <si>
    <t>표준캘린더</t>
  </si>
  <si>
    <t>별(*)표시는 필수입력, 주황색열은 자동계산</t>
  </si>
  <si>
    <t>시작일자</t>
  </si>
  <si>
    <t>각 작업의 시작일을 표시합니다. 반드시 날짜 형식이어야 합니다.</t>
  </si>
  <si>
    <t>작업시작일의 날짜형식이 잘못되었습니다.</t>
  </si>
  <si>
    <t>시작일자에 날짜가 아닌 값이 포함되어 있습니다. Import하는 파일의 {}행을 확인하세요.</t>
  </si>
  <si>
    <t>시작일-완료일</t>
  </si>
  <si>
    <t>일</t>
  </si>
  <si>
    <t>작업영역이 선택되지 않았습니다. 영역을 선택하세요.</t>
  </si>
  <si>
    <t>작업명</t>
  </si>
  <si>
    <t>작업명 필드입니다. 이름, Task, Activity등 다른 이름으로 불리기도 합니다. 작업의 Level에 따라 표시하는 방식이 다를 수 있습니다. Level별로 다른 필드에 작업명이 표시되는 경우에는 1 Level 필드만 Traget파일의 "작업명"필드와 Mapping하면 됩니다.</t>
  </si>
  <si>
    <t>Task(작업명, 이름 등)는 반드시 입력되어야 합니다.</t>
  </si>
  <si>
    <t>실적진척율 열이 삭제되었습니다. 원래대로 복구한 후 작업하세요.</t>
  </si>
  <si>
    <t>{2} sheet의 {1}행의 실적진척율이 숫자가 아닙니다.</t>
  </si>
  <si>
    <t>실제완료일 열이 삭제되었습니다. 원래대로 복구한 후 작업하세요.</t>
  </si>
  <si>
    <t>실제시작일 열이 삭제되었습니다. 원래대로 복구한 후 작업하세요.</t>
  </si>
  <si>
    <t>실제총기간 열이 삭제되었습니다. 원래대로 복구한 후 작업하세요.</t>
  </si>
  <si>
    <t>실제총작업량 열이 삭제되었습니다. 원래대로 복구한 후 작업하세요.</t>
  </si>
  <si>
    <t>Calendar 열이 삭제되었습니다. 원래대로 복구한 후 작업하세요.</t>
  </si>
  <si>
    <t>산출물 열이 삭제되었습니다. 원래대로 복구한 후 작업하세요.</t>
  </si>
  <si>
    <t>완료일 열이 삭제되었습니다. 원래대로 복구한 후 작업하세요.</t>
  </si>
  <si>
    <t>비고 열이 삭제되었습니다. 원래대로 복구한 후 작업하세요.</t>
  </si>
  <si>
    <t>계획진척율 열이 삭제되었습니다. 원래대로 복구한 후 작업하세요.</t>
  </si>
  <si>
    <t>계획기간 열이 삭제되었습니다. 원래대로 복구한 후 작업하세요.</t>
  </si>
  <si>
    <t>계획작업량 열이 삭제되었습니다. 원래대로 복구한 후 작업하세요.</t>
  </si>
  <si>
    <t>담당 열이 삭제되었습니다. 원래대로 복구한 후 작업하세요.</t>
  </si>
  <si>
    <t>시작일 열이 삭제되었습니다. 원래대로 복구한 후 작업하세요.</t>
  </si>
  <si>
    <t>작업 열이 삭제되었습니다. 원래대로 복구한 후 작업하세요.</t>
  </si>
  <si>
    <t>총기간 열이 삭제되었습니다. 원래대로 복구한 후 작업하세요.</t>
  </si>
  <si>
    <t>총작업량 열이 삭제되었습니다. 원래대로 복구한 후 작업하세요.</t>
  </si>
  <si>
    <t>WBS Level 열이 삭제되었습니다. 원래대로 복구한 후 작업하세요.</t>
  </si>
  <si>
    <t>WBS 열이 삭제되었습니다. 원래대로 복구한 후 작업하세요.</t>
  </si>
  <si>
    <t>가중치 열이 삭제되었습니다. 원래대로 복구한 후 작업하세요.</t>
  </si>
  <si>
    <t>{} sheet가 존재하지 않습니다. 이름을 변경하거나 삭제했는지 확인하세요.</t>
  </si>
  <si>
    <t>{2} sheet의 {1}행의 실제완료일이 날짜형식이 아닙니다. 정확한 날짜형식으로 입력하세요.</t>
  </si>
  <si>
    <t>{2} sheet의 {1}행의 실제시작일이 비어있고 실제완료일만 입력되어 있습니다.</t>
  </si>
  <si>
    <t>{2} sheet의 {1}행의 실제시작일이 날짜형식이 아닙니다. 정확한 날짜형식으로 입력하세요.</t>
  </si>
  <si>
    <t>{2} sheet의 {1}행의 실제시작일이 실제완료일보다 큽니다.</t>
  </si>
  <si>
    <t>{2} sheet의 {1}행의 실제 시작일이 프로젝트 기간을 벗어났습니다.</t>
  </si>
  <si>
    <t>{2} sheet의 {1}행의 실젝 시작일 또는 완료일이 프로젝트 기간을 벗어났습니다.</t>
  </si>
  <si>
    <t>Level의 갯수</t>
  </si>
  <si>
    <t>{2} sheet의 {1}행의 날짜는 입력되었는데 작업필드가 비어있습니다.\n작업필드의 값을 채우거나 날짜를 지우세요.</t>
  </si>
  <si>
    <t>산출물명이 비어있습니다.</t>
  </si>
  <si>
    <t>가장 빠른 시작일({1})이 프로젝트 기간정보의 시작일({2})보다 더 빠릅니다.\n\n이 경우 리소스 계산등에 문제가 있을 수 있습니다. 시작일을 환경설정메뉴의 프로젝트 기간내로 조정하거나 프로젝트 기간을 조정하시기 바랍니다.</t>
  </si>
  <si>
    <t>{2} sheet의 {1}행의 완료일이 날짜형식이 아닙니다. 정확한 날짜형식으로 입력하세요.</t>
  </si>
  <si>
    <t>Gantt영역의 첫번째 열이 삭제되었습니다. 원래대로 복구한 후 작업하세요.</t>
  </si>
  <si>
    <t>다음 파일은 지원하지 않는 형식입니다. XLGantt Version 0.9.7 이상 버전만 지원합니다.</t>
  </si>
  <si>
    <t>다음의 XLGantt파일은 지원하지 않는 버전입니다. Version 0.9.7 이상 버전만 지원합니다.</t>
  </si>
  <si>
    <t>다음 파일을 성공적으로 가져왔습니다.</t>
  </si>
  <si>
    <t>다음의 폴더가 존재하지 않습니다.</t>
  </si>
  <si>
    <t>계획진척율 계산 기준일자의 날짜형식이 잘못되었습니다.</t>
  </si>
  <si>
    <t>프로젝트 완료일의 날짜형식이 잘못되었습니다.</t>
  </si>
  <si>
    <t>프로젝트 시작일의 날짜형식이 잘못되었습니다.</t>
  </si>
  <si>
    <t>작업이 정상적으로 완료되지 않았습니다.</t>
  </si>
  <si>
    <t>기간의 종류가 잘못되었습니다. W(주), M(월) 중에 하나를 입력해야 합니다</t>
  </si>
  <si>
    <t>언어설정이 변경되었습니다.\n확인버튼을 누르면 번역을 시작합니다. 번역은 시간이 걸릴 수 있습니다. \n리본메뉴, 팝업메뉴의 언어는 이 XLGantt파일을 닫은 후 새로 열어야 번역이 적용됩니다.</t>
    <phoneticPr fontId="4" type="noConversion"/>
  </si>
  <si>
    <t>가장 늦은 완료일({1})이 프로젝트 기간정보의 완료일({2})보다 더 늦습니다.\n\n이 경우 리소스 계산등에 문제가 있을 수 있습니다. 완료일을 환경설정메뉴의 프로젝트 기간내로 조정하거나 프로젝트 기간을 조정하시기 바랍니다.</t>
  </si>
  <si>
    <t>{} 행의 Level이 맞지 않습니다. Level을 1보다 크게 증가했는지 확인하세요.</t>
  </si>
  <si>
    <t>Level의 갯수는 {}개까지만 가능합니다.</t>
  </si>
  <si>
    <t>Level의 갯수는 양의 정수만 가능합니다.</t>
  </si>
  <si>
    <t>{} sheet의 에러로 인해 작업이 중단되었습니다.</t>
  </si>
  <si>
    <t>입력한 프로젝트 기간의 완료일({})이 날짜형식이 아닙니다.</t>
  </si>
  <si>
    <t>입력한 프로젝트 기간의 시작일({})이 날짜형식이 아닙니다</t>
  </si>
  <si>
    <t>{2} sheet의 {1}행의 시작일이 날짜형식이 아닙니다. 정확한 날짜형식으로 입력하세요.</t>
  </si>
  <si>
    <t>시작일이 완료일보다 큽니다.</t>
  </si>
  <si>
    <t>{2} sheet의 {1}행의 시작일이 완료일보다 큽니다.</t>
  </si>
  <si>
    <t>{2} sheet의 {1}행의 시작일 또는 완료일이 프로젝트 기간을 벗어났습니다.</t>
  </si>
  <si>
    <t>{} sheet 첫행의 작업이 1 Level이 아닙니다. 첫행의 작업이 첫째칸이 아닌 다른 칸에 입력되었는지 확인하세요.</t>
  </si>
  <si>
    <t>Task필드 유형</t>
  </si>
  <si>
    <t>{2} sheet의 {1}행의 가중치가 숫자가 아닙니다.</t>
  </si>
  <si>
    <t>입력한 산출물을 열 수 있는 실행프로그램이 없습니다.</t>
  </si>
  <si>
    <t>{2} sheet의 {1}행의 총작업량 또는계획작업량 필드에 오류가 있습니다. 시작일/완료일이 잘못 입력되었는지 또는 수식에 문제가 없는지 확인하세요.</t>
  </si>
  <si>
    <t>다음 파일에 자료가 없습니다.</t>
  </si>
  <si>
    <t>입력된 자료가 없습니다</t>
  </si>
  <si>
    <t>계산할 입력자료가 없습니다.</t>
  </si>
  <si>
    <t>입력된 자료가 없습니다.</t>
  </si>
  <si>
    <t>입력된 자료가 없습니다. 입력 후 서식재설정 해 주세요.</t>
  </si>
  <si>
    <t>진척율선 그리기 작업 중 에러가 발생했습니다. 실제시작일 또는 실제완료일이 프로젝트 기간을 벗어난 경우에 발생할 수 있습니다. 아래의 메시지를 확인하십시오.</t>
  </si>
  <si>
    <t>선택할 수 없는 영역입니다. 작업명이 입력된 행을 선택하세요.</t>
  </si>
  <si>
    <t>이번 달 작업만 조회</t>
  </si>
  <si>
    <t>이번 주 작업만 조회</t>
  </si>
  <si>
    <t>지금 사용하고 계신 XLGantt는 최신버전이 아닙니다.\n_x000D_
최신버전을 아래의 사이트에서 다운로드 받으세요.</t>
  </si>
  <si>
    <t>목</t>
  </si>
  <si>
    <t>Time bucket type 오류입니다.</t>
  </si>
  <si>
    <t>Target파일(가져온 후 파일)</t>
  </si>
  <si>
    <t>끝날짜 형식이 잘못되었습니다.</t>
  </si>
  <si>
    <t>Source파일에서 Target파일로 가져오기 위해서 각각의 필드를 Mapping합니다. _x000D_
Source파일의 필드를 먼저 선택하고 해당되는 필드를 Targe파일에서 찾아서 Mapping합니다.</t>
  </si>
  <si>
    <t>오늘</t>
  </si>
  <si>
    <t>오늘 작업만 조회</t>
  </si>
  <si>
    <t>총작업량(A)\nMan-day</t>
  </si>
  <si>
    <t>총 작업량_x000D_
(총ManDay,_x000D_
가중치 감안)</t>
  </si>
  <si>
    <t>프로젝트 전체 작업량</t>
  </si>
  <si>
    <t>총__기간</t>
    <phoneticPr fontId="4" type="noConversion"/>
  </si>
  <si>
    <t>총__작업량</t>
    <phoneticPr fontId="4" type="noConversion"/>
  </si>
  <si>
    <t>총\n기간</t>
  </si>
  <si>
    <t>총\n작업량</t>
  </si>
  <si>
    <t>화</t>
  </si>
  <si>
    <t>{2} sheet의 {1}행의 실적진척율을 0~100% 범위로 입력해주세요.</t>
  </si>
  <si>
    <t>화면설계</t>
  </si>
  <si>
    <t>파일을 열수 없습니다. 환경설정&gt;산출물관리 탭에서 "산출물 관리를 할 경우에 체크하세요" 옵션을 체크상태로 변경해 주세요.</t>
  </si>
  <si>
    <t>업데이트 내용</t>
  </si>
  <si>
    <t>스케줄업데이트 중입니다...\n잠시만 기다려 주세요...</t>
  </si>
  <si>
    <t>사용자정의 캘린더1</t>
  </si>
  <si>
    <t>사용자정의 캘린더2</t>
  </si>
  <si>
    <t>차이(실적-계획)</t>
  </si>
  <si>
    <t>WBS영역 표시방법</t>
  </si>
  <si>
    <t>WBS Level(개요번호)에 숫자가 아닌 값이 포함되어 있습니다. Import하는 파일의 {}행을 확인하세요.</t>
  </si>
  <si>
    <t>수</t>
  </si>
  <si>
    <t>주별</t>
  </si>
  <si>
    <t>주별보기</t>
  </si>
  <si>
    <t>가중치의 숫자형식이 잘못되었습니다.</t>
  </si>
  <si>
    <t>가중치는 0보다 커야 합니다.</t>
  </si>
  <si>
    <t>워드</t>
  </si>
  <si>
    <t>Workload현황({})</t>
  </si>
  <si>
    <t>Workload(월별)</t>
  </si>
  <si>
    <t>Workload(담당별)</t>
  </si>
  <si>
    <t>Workload(주별)</t>
  </si>
  <si>
    <t>저장하기 전에 스케줄을 업데이트하시겠습니까?\n\n[스케줄업데이트]메뉴를 클릭할 때와 동일한 작업을 수행합니다.</t>
    <phoneticPr fontId="4" type="noConversion"/>
  </si>
  <si>
    <t>사용하고 계신 XLGantt는 최신 버전입니다.\n현재 버전 : {}</t>
  </si>
  <si>
    <t>{} Sheet에서만 Outlook일정을 등록할 수 있습니다.</t>
  </si>
  <si>
    <t>{} Sheet에서만 Outlook작업을 등록할 수 있습니다.</t>
  </si>
  <si>
    <t>{} Sheet에서만 작업을 편집할 수 있습니다.</t>
  </si>
  <si>
    <t>{} Sheet에서만 작업가능합니다.</t>
  </si>
  <si>
    <t>선택한 위치에서는 작업할 수 없습니다.</t>
  </si>
  <si>
    <t>선택한 위치에서는 Outlook작업을 등록할 수 없습니다.</t>
  </si>
  <si>
    <t>A열부터 C열까지는 XLGantt프로그램에서 사용하는 영역이므로 임의로 열을 추가할 수 없습니다.</t>
  </si>
  <si>
    <t>더 이상 입력불가</t>
  </si>
  <si>
    <t>더 이상 오른쪽으로 이동할 수 없습니다!</t>
  </si>
  <si>
    <t>선택한 위치에서는 이동할 수 없습니다.</t>
  </si>
  <si>
    <t>더 이상 왼쪽으로 이동할 수 없습니다!</t>
  </si>
  <si>
    <t>Microsoft Outlook을 사용할 수 없습니다.\n정상적으로 설치되어 있는지 확인하세요.</t>
  </si>
  <si>
    <t xml:space="preserve">일정을 관리할 때 작업 시작일/완료일만 사용합니다. 변경된 일정은 관리하지 않습니다. 일정이 변경되었을 때는 시작일과 완료일을 변경합니다.  </t>
  </si>
  <si>
    <t xml:space="preserve">일정을 관리할 때 작업 시작일/완료일, 실제시작일/실제완료일을 사용합니다. 실제 시작된 날짜와 실제 완료된 날짜를 입력하여 일정이 지연되었거나 빨리 진행된 것을 관리할 수 있습니다.  </t>
  </si>
  <si>
    <t>필드명이 비어있는 항목은 선택할 수 없습니다.</t>
  </si>
  <si>
    <t>엑셀매크로 파일은 가져오기를 할 수 없습니다. xls 또는 xlsx파일로 저장하여 작업하시기 바랍니다. 만약 XLGantt파일인 경우에는 "XLGantt로 작성된 파일 가져오기"에서 작업 가능합니다</t>
  </si>
  <si>
    <t>기본언어인 English와 Korean은 삭제할 수 없습니다.</t>
  </si>
  <si>
    <t>언어가 선택되지 않았습니다.</t>
  </si>
  <si>
    <t>Source항목이 선택되지 않았습니다.</t>
  </si>
  <si>
    <t>Target항목이 선택되지 않았습니다.</t>
  </si>
  <si>
    <t>Mapping취소항목이 선택되지 않았습니다.</t>
  </si>
  <si>
    <t>한곳만 선택하세요. 현재 {}곳이 선택되었습니다.</t>
  </si>
  <si>
    <t>작업을 그룹으로 묶기</t>
    <phoneticPr fontId="2" type="noConversion"/>
  </si>
  <si>
    <t>계산 옵션</t>
    <phoneticPr fontId="2" type="noConversion"/>
  </si>
  <si>
    <t>데이터 표만 수동</t>
    <phoneticPr fontId="2" type="noConversion"/>
  </si>
  <si>
    <t>계획진척율</t>
    <phoneticPr fontId="2" type="noConversion"/>
  </si>
  <si>
    <t>Invalid field name!</t>
    <phoneticPr fontId="2" type="noConversion"/>
  </si>
  <si>
    <t>필드명이 잘못되었습니다!</t>
    <phoneticPr fontId="2" type="noConversion"/>
  </si>
  <si>
    <t>Import file format Error! Range A1 should contain "xlgantt_reserved" string.</t>
    <phoneticPr fontId="2" type="noConversion"/>
  </si>
  <si>
    <t>가져오는 파일의 포맷이 잘못되었습니다. A1셀에는 "xlgantt_reserved"가 입력되어 있어야 합니다.</t>
    <phoneticPr fontId="2" type="noConversion"/>
  </si>
  <si>
    <t>Import file format Error! Range A2 should contain the import result.</t>
    <phoneticPr fontId="2" type="noConversion"/>
  </si>
  <si>
    <t>가져오는 파일의 포맷이 잘못되었습니다. A2셀에는 가져오기 결과가 입력되어 있어야 합니다.</t>
    <phoneticPr fontId="2" type="noConversion"/>
  </si>
  <si>
    <t>Successfully imported.</t>
    <phoneticPr fontId="2" type="noConversion"/>
  </si>
  <si>
    <t>가져오기가 정상적으로 완료되었습니다.</t>
    <phoneticPr fontId="2" type="noConversion"/>
  </si>
  <si>
    <t>File저장시 "스케줄업데이트" 실행</t>
    <phoneticPr fontId="2" type="noConversion"/>
  </si>
  <si>
    <t>Name:optRecalcWBSArea</t>
  </si>
  <si>
    <t>Recalculate WBS area after import</t>
    <phoneticPr fontId="2" type="noConversion"/>
  </si>
  <si>
    <t>Do not recalculate WBS area after import</t>
    <phoneticPr fontId="2" type="noConversion"/>
  </si>
  <si>
    <t>가져오기 후 WBS영역 재계산</t>
    <phoneticPr fontId="2" type="noConversion"/>
  </si>
  <si>
    <t>가져오기 후 WBS영역 재계산 안함</t>
    <phoneticPr fontId="2" type="noConversion"/>
  </si>
  <si>
    <t>Number of "Task" columns(Max 20)</t>
    <phoneticPr fontId="2" type="noConversion"/>
  </si>
  <si>
    <t>"작업"열의 개수(최대 20개)</t>
    <phoneticPr fontId="2" type="noConversion"/>
  </si>
  <si>
    <t>Name:txtNumberOfTaskColumn</t>
  </si>
  <si>
    <t>설계</t>
  </si>
  <si>
    <t>wbs_level</t>
  </si>
  <si>
    <t>xlgantt_reserved</t>
  </si>
  <si>
    <t>xlgantt_task_connection</t>
  </si>
  <si>
    <t>xlgantt_task_id</t>
  </si>
  <si>
    <t>Import from Server</t>
    <phoneticPr fontId="2" type="noConversion"/>
  </si>
  <si>
    <t>Choose what to do after Importing Server Data</t>
    <phoneticPr fontId="2" type="noConversion"/>
  </si>
  <si>
    <t>서버데이터 가져온 후 수행할 작업 선택</t>
    <phoneticPr fontId="2" type="noConversion"/>
  </si>
  <si>
    <t xml:space="preserve">Import  Data of "ServerData" sheet on Startup </t>
    <phoneticPr fontId="2" type="noConversion"/>
  </si>
  <si>
    <t>프로그램 시작 시 "ServerData" 시트의 데이터 가져오기</t>
    <phoneticPr fontId="2" type="noConversion"/>
  </si>
  <si>
    <t>Import has already been completed.</t>
    <phoneticPr fontId="2" type="noConversion"/>
  </si>
  <si>
    <t>가져오기가 이미 완료되었습니다.</t>
    <phoneticPr fontId="2" type="noConversion"/>
  </si>
  <si>
    <t>No data to import.</t>
    <phoneticPr fontId="2" type="noConversion"/>
  </si>
  <si>
    <t>가져올 데이터가 없습니다.</t>
    <phoneticPr fontId="2" type="noConversion"/>
  </si>
  <si>
    <t>The number of task columns is not 10. Please retry after changing the sheet to its previous state.</t>
    <phoneticPr fontId="2" type="noConversion"/>
  </si>
  <si>
    <t>Task열의 갯수가 10개가 아닙니다. 원래대로 복구한 후 작업하세요.</t>
    <phoneticPr fontId="2" type="noConversion"/>
  </si>
  <si>
    <t>체계 1</t>
    <phoneticPr fontId="2" type="noConversion"/>
  </si>
  <si>
    <t>체계 2</t>
  </si>
  <si>
    <t>The week containing the first Thursday of the year is the first week of the year(ISO 8601 Standard).</t>
    <phoneticPr fontId="2" type="noConversion"/>
  </si>
  <si>
    <t>System 2</t>
    <phoneticPr fontId="2" type="noConversion"/>
  </si>
  <si>
    <t>System 1</t>
    <phoneticPr fontId="2" type="noConversion"/>
  </si>
  <si>
    <t>The week containing January 1 is the first week of the year.</t>
    <phoneticPr fontId="2" type="noConversion"/>
  </si>
  <si>
    <t>1월 1일을 포함하는 주가 년도의 첫주가 되는 방식</t>
    <phoneticPr fontId="2" type="noConversion"/>
  </si>
  <si>
    <t>한주의 시작은 월요일이며 년도의 첫번째 목요일을 포함하는 주가 첫주가 되는 방식(ISO 8601 표준)</t>
    <phoneticPr fontId="2" type="noConversion"/>
  </si>
  <si>
    <t>for Week Number</t>
    <phoneticPr fontId="2" type="noConversion"/>
  </si>
  <si>
    <t>None</t>
    <phoneticPr fontId="2" type="noConversion"/>
  </si>
  <si>
    <t>표시 안함</t>
    <phoneticPr fontId="2" type="noConversion"/>
  </si>
  <si>
    <t>Name:optWeekNum</t>
  </si>
  <si>
    <t>Week Numbers Display</t>
    <phoneticPr fontId="2" type="noConversion"/>
  </si>
  <si>
    <t>주차 표시방식</t>
    <phoneticPr fontId="2" type="noConversion"/>
  </si>
  <si>
    <t>dwg</t>
    <phoneticPr fontId="4" type="noConversion"/>
  </si>
  <si>
    <t>AutoCAD</t>
    <phoneticPr fontId="4" type="noConversion"/>
  </si>
  <si>
    <t>C:\Program Files\Autodesk\AutoCAD 2019\acad.exe</t>
    <phoneticPr fontId="4" type="noConversion"/>
  </si>
  <si>
    <t>Notepad++</t>
    <phoneticPr fontId="4" type="noConversion"/>
  </si>
  <si>
    <t>html</t>
    <phoneticPr fontId="4" type="noConversion"/>
  </si>
  <si>
    <t>C:\Program Files\Notepad++\notepad++.exe</t>
    <phoneticPr fontId="4" type="noConversion"/>
  </si>
  <si>
    <t>XYZ시스템 구축</t>
    <phoneticPr fontId="2" type="noConversion"/>
  </si>
  <si>
    <t>ServerData</t>
    <phoneticPr fontId="2" type="noConversion"/>
  </si>
  <si>
    <t>Group rows(Max 8 Levels)</t>
    <phoneticPr fontId="2" type="noConversion"/>
  </si>
  <si>
    <t>작업을 그룹으로 묶기(최대 8 레벨)</t>
    <phoneticPr fontId="2" type="noConversion"/>
  </si>
  <si>
    <t>최신버전\n확인</t>
    <phoneticPr fontId="2" type="noConversion"/>
  </si>
  <si>
    <t>스케줄\n업데이트</t>
    <phoneticPr fontId="2" type="noConversion"/>
  </si>
  <si>
    <t>담당별\n진행율</t>
    <phoneticPr fontId="2" type="noConversion"/>
  </si>
  <si>
    <t>서식\n재설정</t>
    <phoneticPr fontId="2" type="noConversion"/>
  </si>
  <si>
    <t>서버에서\n가져오기</t>
    <phoneticPr fontId="2" type="noConversion"/>
  </si>
  <si>
    <t>totalWorkload</t>
  </si>
  <si>
    <t>planWorkload</t>
  </si>
  <si>
    <t>actualWorkload</t>
  </si>
  <si>
    <t>resourceWeight</t>
  </si>
  <si>
    <t>planRate</t>
  </si>
  <si>
    <t>actualRate</t>
  </si>
  <si>
    <t>reserved index</t>
    <phoneticPr fontId="2" type="noConversion"/>
  </si>
  <si>
    <t>1</t>
  </si>
  <si>
    <t>Actual Accumulated\nMan-Day</t>
    <phoneticPr fontId="2" type="noConversion"/>
  </si>
  <si>
    <t>실제 누적\nMan-Day</t>
    <phoneticPr fontId="2" type="noConversion"/>
  </si>
  <si>
    <t>Actual Man-Day</t>
    <phoneticPr fontId="2" type="noConversion"/>
  </si>
  <si>
    <t>실제 Man-Day</t>
    <phoneticPr fontId="2" type="noConversion"/>
  </si>
  <si>
    <t>Actual Progress</t>
    <phoneticPr fontId="2" type="noConversion"/>
  </si>
  <si>
    <t>실제진척율</t>
    <phoneticPr fontId="2" type="noConversion"/>
  </si>
  <si>
    <t>실적기성(Man-Day)</t>
    <phoneticPr fontId="2" type="noConversion"/>
  </si>
  <si>
    <t>실적기성 진척율</t>
    <phoneticPr fontId="2" type="noConversion"/>
  </si>
  <si>
    <t>Project Progresses by Weeks</t>
    <phoneticPr fontId="2" type="noConversion"/>
  </si>
  <si>
    <t>프로젝트 진척율(주별)</t>
    <phoneticPr fontId="2" type="noConversion"/>
  </si>
  <si>
    <t>* This sheet shows you project progresses by weeks.</t>
    <phoneticPr fontId="2" type="noConversion"/>
  </si>
  <si>
    <t>* 주별로 프로젝트 진적율을 보여줍니다.</t>
    <phoneticPr fontId="2" type="noConversion"/>
  </si>
  <si>
    <t>프로젝트 진척율 - 일정변경 관리할때</t>
    <phoneticPr fontId="2" type="noConversion"/>
  </si>
  <si>
    <t>프로젝트 진척율 - 일정변경 관리하지 않을때</t>
    <phoneticPr fontId="2" type="noConversion"/>
  </si>
  <si>
    <t>timebucketStart</t>
  </si>
  <si>
    <t>timebucketFinish</t>
  </si>
  <si>
    <t>actualStart</t>
  </si>
  <si>
    <t>actualFinish</t>
  </si>
  <si>
    <t>Planned Workload(Man-Day)</t>
    <phoneticPr fontId="2" type="noConversion"/>
  </si>
  <si>
    <t>계획작업량(Man-Day)</t>
    <phoneticPr fontId="2" type="noConversion"/>
  </si>
  <si>
    <t>Planned Workload Accumulated(Man-Day)</t>
    <phoneticPr fontId="2" type="noConversion"/>
  </si>
  <si>
    <t>계획작업량 누적(Man-Day)</t>
    <phoneticPr fontId="2" type="noConversion"/>
  </si>
  <si>
    <t>실적기성 누적(Man-Day)</t>
    <phoneticPr fontId="2" type="noConversion"/>
  </si>
  <si>
    <t>Actual Workload(Man-Day)</t>
    <phoneticPr fontId="2" type="noConversion"/>
  </si>
  <si>
    <t>실제작업량(Man-Day)</t>
    <phoneticPr fontId="2" type="noConversion"/>
  </si>
  <si>
    <t>실제작업량 누적(Man-Day)</t>
    <phoneticPr fontId="2" type="noConversion"/>
  </si>
  <si>
    <t>Actual Workload Progress</t>
    <phoneticPr fontId="2" type="noConversion"/>
  </si>
  <si>
    <t>실제작업량 진척율</t>
    <phoneticPr fontId="2" type="noConversion"/>
  </si>
  <si>
    <t>Planned Workload Progress</t>
    <phoneticPr fontId="2" type="noConversion"/>
  </si>
  <si>
    <t>계획작업량 진척율</t>
    <phoneticPr fontId="2" type="noConversion"/>
  </si>
  <si>
    <t>Actual Workload Accumulated(Man-Day)</t>
    <phoneticPr fontId="2" type="noConversion"/>
  </si>
  <si>
    <t>Progress by Weeks</t>
    <phoneticPr fontId="2" type="noConversion"/>
  </si>
  <si>
    <t>진척율(주별)</t>
    <phoneticPr fontId="2" type="noConversion"/>
  </si>
  <si>
    <t>Progress by Months</t>
    <phoneticPr fontId="2" type="noConversion"/>
  </si>
  <si>
    <t>진척율(월별)</t>
    <phoneticPr fontId="2" type="noConversion"/>
  </si>
  <si>
    <t>Project Progresses by Months</t>
    <phoneticPr fontId="2" type="noConversion"/>
  </si>
  <si>
    <t>프로젝트 진척율(월별)</t>
    <phoneticPr fontId="2" type="noConversion"/>
  </si>
  <si>
    <t>* This sheet shows you project progresses by months.</t>
    <phoneticPr fontId="2" type="noConversion"/>
  </si>
  <si>
    <t>* 월별로 프로젝트 진적율을 보여줍니다.</t>
    <phoneticPr fontId="2" type="noConversion"/>
  </si>
  <si>
    <t>* "진척율(주별)" 메뉴를 클릭해야 갱신됨</t>
    <phoneticPr fontId="2" type="noConversion"/>
  </si>
  <si>
    <t>* You need to click the "Progress by Weeks" button to update the contents.</t>
    <phoneticPr fontId="2" type="noConversion"/>
  </si>
  <si>
    <t>* You need to click the "Progress by Months" button to update the contents.</t>
    <phoneticPr fontId="2" type="noConversion"/>
  </si>
  <si>
    <t>* "진척율(월별)" 메뉴를 클릭해야 갱신됨</t>
    <phoneticPr fontId="2" type="noConversion"/>
  </si>
  <si>
    <t>TODAY</t>
    <phoneticPr fontId="2" type="noConversion"/>
  </si>
  <si>
    <t>Earned Value(Man-Day)</t>
    <phoneticPr fontId="2" type="noConversion"/>
  </si>
  <si>
    <t>Earned Value Accumulated(Man-Day)</t>
    <phoneticPr fontId="2" type="noConversion"/>
  </si>
  <si>
    <t>Earned Value Progress</t>
    <phoneticPr fontId="2" type="noConversion"/>
  </si>
  <si>
    <t>Earned value on planned schedule</t>
    <phoneticPr fontId="2" type="noConversion"/>
  </si>
  <si>
    <t>Earned value on planned schedule when managing schedule changes(Total Duration x %Work Complete)</t>
    <phoneticPr fontId="2" type="noConversion"/>
  </si>
  <si>
    <t>실적기성</t>
    <phoneticPr fontId="2" type="noConversion"/>
  </si>
  <si>
    <t>일정변경관리 할때 실적기성(총기간 x 총실적진행율)</t>
    <phoneticPr fontId="2" type="noConversion"/>
  </si>
  <si>
    <t>earnedValue</t>
  </si>
  <si>
    <t>* 프로젝트 작업량과 진척율을 보여줍니다.</t>
    <phoneticPr fontId="4" type="noConversion"/>
  </si>
  <si>
    <t>* "스케줄업데이트" 버튼 클릭 시 아래 항목이 자동계산됩니다.</t>
    <phoneticPr fontId="4" type="noConversion"/>
  </si>
  <si>
    <t>프로젝트 전체 작업량</t>
    <phoneticPr fontId="4" type="noConversion"/>
  </si>
  <si>
    <t>프로젝트 전체의 작업량을 Man/Day로 표시한다. 가중치를 적용한 값이다.</t>
    <phoneticPr fontId="4" type="noConversion"/>
  </si>
  <si>
    <t>현재일까지 계획된 작업량</t>
    <phoneticPr fontId="4" type="noConversion"/>
  </si>
  <si>
    <t>해당작업의 시작일부터 현재일까지의 작업기간을 의미함(현재 날짜까지 진행되었어야 할 기간)</t>
    <phoneticPr fontId="4" type="noConversion"/>
  </si>
  <si>
    <t>일정변경 관리할 때 현재까지 실제로 투입된 작업기간을 표시함</t>
    <phoneticPr fontId="4" type="noConversion"/>
  </si>
  <si>
    <t>계획 진척율(A)</t>
    <phoneticPr fontId="4" type="noConversion"/>
  </si>
  <si>
    <t>현재날짜까지 계획된 진척율, WBS의 "계획진척율"의 전체 합계 진척율을 표시함</t>
    <phoneticPr fontId="4" type="noConversion"/>
  </si>
  <si>
    <t>실적 진척율(B)</t>
    <phoneticPr fontId="4" type="noConversion"/>
  </si>
  <si>
    <t>현재날짜까지 실제로 진행된 진척율, WBS의 "실적진척율"의 전체 합계 진척율을 표시함</t>
    <phoneticPr fontId="4" type="noConversion"/>
  </si>
  <si>
    <t>차이(B-A)</t>
    <phoneticPr fontId="4" type="noConversion"/>
  </si>
  <si>
    <t>양수이면 계획보다 빨리 진행, 음수이면 지연</t>
    <phoneticPr fontId="4" type="noConversion"/>
  </si>
  <si>
    <t>작업*</t>
    <phoneticPr fontId="4" type="noConversion"/>
  </si>
  <si>
    <t>비고</t>
    <phoneticPr fontId="4" type="noConversion"/>
  </si>
  <si>
    <t>완료일*</t>
    <phoneticPr fontId="4" type="noConversion"/>
  </si>
  <si>
    <t>계획_x000D_
작업량</t>
    <phoneticPr fontId="4" type="noConversion"/>
  </si>
  <si>
    <t>총_x000D_
기간</t>
    <phoneticPr fontId="4" type="noConversion"/>
  </si>
  <si>
    <t>계획_x000D_
기간</t>
    <phoneticPr fontId="4" type="noConversion"/>
  </si>
  <si>
    <t>실제_x000D_
시작일</t>
    <phoneticPr fontId="4" type="noConversion"/>
  </si>
  <si>
    <t>실제_x000D_
완료일</t>
    <phoneticPr fontId="4" type="noConversion"/>
  </si>
  <si>
    <t>실제_x000D_
총기간</t>
    <phoneticPr fontId="4" type="noConversion"/>
  </si>
  <si>
    <t>가중치</t>
    <phoneticPr fontId="4" type="noConversion"/>
  </si>
  <si>
    <t>담당</t>
    <phoneticPr fontId="4" type="noConversion"/>
  </si>
  <si>
    <t>산출물</t>
    <phoneticPr fontId="4" type="noConversion"/>
  </si>
  <si>
    <t>실적*</t>
    <phoneticPr fontId="4" type="noConversion"/>
  </si>
  <si>
    <t xml:space="preserve"> 프로젝트 휴무일 Calendar 설정</t>
    <phoneticPr fontId="4" type="noConversion"/>
  </si>
  <si>
    <t>여기에는 프로젝트의 휴무일만 입력하세요.휴무일을 제외한 날짜는 근무일자로 설정됩니다. _x000D_
휴무일을 입력해야 작업기간 계산시 반영합니다. 입력한 일자만큼 작업기간에서 제외합니다._x000D_
(단, 옵션창의 캘린더 설정에 따라 휴무일계산방법은 달라질 수 있습니다.)_x000D_
표준캘린더는 기본으로 적용되는 캘린더이며 특정 작업에 다른 캘린더를 지정하고 싶으면 "사용자정의 캘린더1", "사용자정의 캘린더2"에 휴무일을 지정하여 사용합니다.</t>
    <phoneticPr fontId="4" type="noConversion"/>
  </si>
  <si>
    <t>표준캘린더</t>
    <phoneticPr fontId="4" type="noConversion"/>
  </si>
  <si>
    <t>사용자정의 캘린더1</t>
    <phoneticPr fontId="4" type="noConversion"/>
  </si>
  <si>
    <t>사용자정의 캘린더2</t>
    <phoneticPr fontId="4" type="noConversion"/>
  </si>
  <si>
    <t>휴무일명</t>
    <phoneticPr fontId="4" type="noConversion"/>
  </si>
  <si>
    <t>휴무일자</t>
    <phoneticPr fontId="4" type="noConversion"/>
  </si>
  <si>
    <t>더 이상 입력불가</t>
    <phoneticPr fontId="4" type="noConversion"/>
  </si>
  <si>
    <t>Earned Value(C)\nMan-day</t>
    <phoneticPr fontId="2" type="noConversion"/>
  </si>
  <si>
    <t>실적기성( C )\nMan-day</t>
    <phoneticPr fontId="2" type="noConversion"/>
  </si>
  <si>
    <t>wbsLevel01</t>
  </si>
  <si>
    <t>wbsLevel02</t>
  </si>
  <si>
    <t>wbsLevel03</t>
  </si>
  <si>
    <t>wbsLevel04</t>
  </si>
  <si>
    <t>wbsLevel05</t>
  </si>
  <si>
    <t>wbsLevel06</t>
  </si>
  <si>
    <t>wbsLevel07</t>
  </si>
  <si>
    <t>wbsLevel08</t>
  </si>
  <si>
    <t>wbsLevel09</t>
  </si>
  <si>
    <t>wbsLevel10</t>
  </si>
  <si>
    <t>2</t>
  </si>
  <si>
    <t>weekNumber</t>
  </si>
  <si>
    <t>wbsLevel</t>
  </si>
  <si>
    <t>Workloads</t>
    <phoneticPr fontId="2" type="noConversion"/>
  </si>
  <si>
    <t>Workload</t>
    <phoneticPr fontId="2" type="noConversion"/>
  </si>
  <si>
    <t>Workload Data</t>
    <phoneticPr fontId="2" type="noConversion"/>
  </si>
  <si>
    <t>Create Workload Data by Weeks</t>
    <phoneticPr fontId="2" type="noConversion"/>
  </si>
  <si>
    <t>Workload Data생성(주별)</t>
    <phoneticPr fontId="2" type="noConversion"/>
  </si>
  <si>
    <t>Create Workload Data by Months</t>
  </si>
  <si>
    <t>Workload Data생성(월별)</t>
  </si>
  <si>
    <t>1.1</t>
  </si>
  <si>
    <t>1.1.1</t>
  </si>
  <si>
    <t>1.1.2</t>
  </si>
  <si>
    <t>1.2</t>
  </si>
  <si>
    <t>1.2.1</t>
  </si>
  <si>
    <t>1.3</t>
  </si>
  <si>
    <t>1.3.1</t>
  </si>
  <si>
    <t>3</t>
  </si>
  <si>
    <t>4</t>
  </si>
  <si>
    <t>도움말</t>
  </si>
  <si>
    <t>도움말</t>
    <phoneticPr fontId="2" type="noConversion"/>
  </si>
  <si>
    <t>Bar chart형태로 간트차트를 보여주고 있으며 여러 가지 표시방법을 옵션에서 설정할 수 있다.</t>
    <phoneticPr fontId="2" type="noConversion"/>
  </si>
  <si>
    <t>프로젝트의 현황을 파악할 수 있는 진행율, Workload 등의 분석 리포트와 분석용 Workload data를 제공한다.</t>
    <phoneticPr fontId="2" type="noConversion"/>
  </si>
  <si>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phoneticPr fontId="2" type="noConversion"/>
  </si>
  <si>
    <t>엑셀간트에서는 산출물의 저장 경로(폴더 위치)를 지정하고 Schedule시트에서 바로 산출물을 열 수 있는 기능을 제공한다. 리본 메뉴에서 “옵션” 버튼을 클릭하면  “산출물”과 관련된 설정을 할 수 있다.</t>
    <phoneticPr fontId="2" type="noConversion"/>
  </si>
  <si>
    <t>엑셀간트에서는 Schedule시트에 입력되어 있는 작업을 Microsoft Outlook에 작업이나 일정으로 등록할 수 있는 기능을 제공한다(단, PC에 Microsoft Outlook이 설치되어 있어야 한다).</t>
    <phoneticPr fontId="2" type="noConversion"/>
  </si>
  <si>
    <t>엑셀간트는 다국어를 지원하는데 프로그램을 수정하지 않고 여러 다국어를 추가할 수 있다. 현재는 한국어, 영어 2개 국어가 추가되어 있다.</t>
    <phoneticPr fontId="2" type="noConversion"/>
  </si>
  <si>
    <t>엑셀간트에서는 엑셀간트(XLGantt) 또는 일반 엑셀파일로 만들어진 일정을 가져오는 기능을 제공한다.</t>
    <phoneticPr fontId="2" type="noConversion"/>
  </si>
  <si>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phoneticPr fontId="2" type="noConversion"/>
  </si>
  <si>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phoneticPr fontId="2" type="noConversion"/>
  </si>
  <si>
    <t>Server Data 가져오기</t>
    <phoneticPr fontId="2" type="noConversion"/>
  </si>
  <si>
    <t>진척율을 이용하여 프로젝트 전체 진행상황을 파악할 수 있다.</t>
    <phoneticPr fontId="2" type="noConversion"/>
  </si>
  <si>
    <t>한주의 시작요일 지정, 휴무일 설정, 주차표시 기능을 제공한다.
리본메뉴 &gt; XLGantt – Project Scheduler &gt; 옵션 &gt; “Calendar” 탭에서 설정할 수 있다.</t>
    <phoneticPr fontId="2" type="noConversion"/>
  </si>
  <si>
    <t xml:space="preserve">        엑셀간트(XLGantt) - 엑셀 일정관리</t>
    <phoneticPr fontId="20" type="noConversion"/>
  </si>
  <si>
    <t xml:space="preserve">도움말, 최신 버전 다운로드 https://xlworks.net </t>
    <phoneticPr fontId="2" type="noConversion"/>
  </si>
  <si>
    <t>5</t>
  </si>
  <si>
    <t>6</t>
  </si>
  <si>
    <t>7</t>
  </si>
  <si>
    <t>8</t>
  </si>
  <si>
    <t>9</t>
  </si>
  <si>
    <t>10</t>
  </si>
  <si>
    <t>11</t>
  </si>
  <si>
    <t>12</t>
  </si>
  <si>
    <t>13</t>
  </si>
  <si>
    <t>14</t>
  </si>
  <si>
    <t>15</t>
  </si>
  <si>
    <t>16</t>
  </si>
  <si>
    <t>Project X</t>
  </si>
  <si>
    <t>범위정의</t>
  </si>
  <si>
    <t>범위확정</t>
  </si>
  <si>
    <t>Benchmarking</t>
  </si>
  <si>
    <t>Workshop</t>
  </si>
  <si>
    <t>데이터베이스 설계</t>
  </si>
  <si>
    <t>UI설계</t>
  </si>
  <si>
    <t>개발</t>
  </si>
  <si>
    <t>코딩</t>
  </si>
  <si>
    <t>단위테스트</t>
  </si>
  <si>
    <t>테스트</t>
  </si>
  <si>
    <t>통합테스트</t>
  </si>
  <si>
    <t>시스템테스트</t>
  </si>
  <si>
    <t>1.1.3</t>
  </si>
  <si>
    <t>1.1.4</t>
  </si>
  <si>
    <t>1.2.2</t>
  </si>
  <si>
    <t>1.3.2</t>
  </si>
  <si>
    <t>1.4</t>
  </si>
  <si>
    <t>1.4.1</t>
  </si>
  <si>
    <t>1.4.2</t>
  </si>
  <si>
    <t>1.4.3</t>
  </si>
  <si>
    <t>3.0.0</t>
    <phoneticPr fontId="2" type="noConversion"/>
  </si>
  <si>
    <t xml:space="preserve">  XLGantt 3.0.0 ©XLWorks</t>
  </si>
  <si>
    <t>Total</t>
  </si>
  <si>
    <t>2020년 신정</t>
  </si>
  <si>
    <t>2020년 설연휴</t>
  </si>
  <si>
    <t>2019년 신정</t>
    <phoneticPr fontId="2" type="noConversion"/>
  </si>
  <si>
    <t>2019년 설연휴</t>
    <phoneticPr fontId="2" type="noConversion"/>
  </si>
  <si>
    <t>2019년 설날</t>
    <phoneticPr fontId="2" type="noConversion"/>
  </si>
  <si>
    <t>2019년 삼일절</t>
  </si>
  <si>
    <t>2019년 어린이날 대체휴일</t>
  </si>
  <si>
    <t>2019년 현충일</t>
  </si>
  <si>
    <t>2019년 광복절</t>
  </si>
  <si>
    <t>2019년 추석연휴</t>
  </si>
  <si>
    <t>2019년 추석</t>
    <phoneticPr fontId="2" type="noConversion"/>
  </si>
  <si>
    <t>2019년 개천절</t>
  </si>
  <si>
    <t>2019년 한글날</t>
  </si>
  <si>
    <t>2019년 성탄절</t>
  </si>
  <si>
    <t>2020년 설날 대체휴일</t>
    <phoneticPr fontId="2" type="noConversion"/>
  </si>
  <si>
    <t>21대 국회위원 선거일</t>
    <phoneticPr fontId="2" type="noConversion"/>
  </si>
  <si>
    <t>2020년 부처님오신날</t>
    <phoneticPr fontId="2" type="noConversion"/>
  </si>
  <si>
    <t>2020년 어린이날</t>
    <phoneticPr fontId="2" type="noConversion"/>
  </si>
  <si>
    <t xml:space="preserve">XLGantt 3.0.0 ⓒXLWorks </t>
    <phoneticPr fontId="4" type="noConversion"/>
  </si>
  <si>
    <t>2020년 추석연휴</t>
    <phoneticPr fontId="2" type="noConversion"/>
  </si>
  <si>
    <t>2020년 추석</t>
    <phoneticPr fontId="2" type="noConversion"/>
  </si>
  <si>
    <t>2020년 한글날</t>
    <phoneticPr fontId="2" type="noConversion"/>
  </si>
  <si>
    <t>2020년 성탄절</t>
    <phoneticPr fontId="2" type="noConversion"/>
  </si>
  <si>
    <t>실적기성</t>
    <phoneticPr fontId="4" type="noConversion"/>
  </si>
  <si>
    <t>Earned value on planned schedule(Total Duration x %Work Complete)</t>
    <phoneticPr fontId="2" type="noConversion"/>
  </si>
  <si>
    <t>실적기성(총기간 x 총실적진행율)</t>
    <phoneticPr fontId="2" type="noConversion"/>
  </si>
  <si>
    <t>실적기성(총기간 x 총실적진행율)</t>
    <phoneticPr fontId="4" type="noConversion"/>
  </si>
  <si>
    <t>실제 투입된 작업량</t>
    <phoneticPr fontId="2" type="noConversion"/>
  </si>
  <si>
    <t>실제 투입된 작업량</t>
    <phoneticPr fontId="4" type="noConversion"/>
  </si>
  <si>
    <t>이지은,김분석</t>
  </si>
  <si>
    <t>이지은</t>
  </si>
  <si>
    <t>박설계</t>
  </si>
  <si>
    <t>나개발</t>
  </si>
  <si>
    <t>김분석,이지은</t>
  </si>
  <si>
    <t>나고객,이고객</t>
  </si>
  <si>
    <t>프로젝트 진척율 - 일정변경 관리하지 않을때</t>
    <phoneticPr fontId="4" type="noConversion"/>
  </si>
  <si>
    <t>김분석</t>
  </si>
  <si>
    <t>나고객</t>
  </si>
  <si>
    <t>이고객</t>
  </si>
  <si>
    <t>계획작업량(Man-Day)</t>
  </si>
  <si>
    <t>계획작업량 누적(Man-Day)</t>
  </si>
  <si>
    <t>계획작업량 진척율</t>
  </si>
  <si>
    <t>실적기성(Man-Day)</t>
  </si>
  <si>
    <t>실적기성 누적(Man-Day)</t>
  </si>
  <si>
    <t>실적기성 진척율</t>
  </si>
  <si>
    <t>실제작업량(Man-Day)</t>
  </si>
  <si>
    <t>실제작업량 누적(Man-Day)</t>
  </si>
  <si>
    <t>실제작업량 진척율</t>
  </si>
  <si>
    <t>프로젝트 진척율(주별)</t>
  </si>
  <si>
    <t>* 주별로 프로젝트 진적율을 보여줍니다.</t>
  </si>
  <si>
    <t>* "진척율(주별)" 메뉴를 클릭해야 갱신됨</t>
  </si>
  <si>
    <t>파워포인트</t>
    <phoneticPr fontId="4" type="noConversion"/>
  </si>
  <si>
    <t>자동지정</t>
    <phoneticPr fontId="4" type="noConversion"/>
  </si>
  <si>
    <t>워드</t>
    <phoneticPr fontId="4" type="noConversion"/>
  </si>
  <si>
    <t>엑셀</t>
    <phoneticPr fontId="4" type="noConversion"/>
  </si>
  <si>
    <t>G</t>
  </si>
  <si>
    <t>프로젝트 관리</t>
  </si>
  <si>
    <t>프로젝트 착수 및 계획수립</t>
  </si>
  <si>
    <t>프로젝트 착수</t>
  </si>
  <si>
    <t>프로젝트 범위정의</t>
  </si>
  <si>
    <t>1.1.2.1</t>
  </si>
  <si>
    <t>프로젝트 계획 수립</t>
  </si>
  <si>
    <t>1.1.2.2</t>
  </si>
  <si>
    <t>착수보고(Kick off)</t>
  </si>
  <si>
    <t>프로젝트 수행 및 통제</t>
  </si>
  <si>
    <t>월간보고1</t>
  </si>
  <si>
    <t>월간보고2</t>
  </si>
  <si>
    <t>1.2.3</t>
  </si>
  <si>
    <t>월간보고3</t>
  </si>
  <si>
    <t>1.2.4</t>
  </si>
  <si>
    <t>중간보고</t>
  </si>
  <si>
    <t>프로젝트 종료</t>
  </si>
  <si>
    <t>종료계획수립</t>
  </si>
  <si>
    <t>시스템 인수인계</t>
  </si>
  <si>
    <t>1.3.3</t>
  </si>
  <si>
    <t>종료보고</t>
  </si>
  <si>
    <t>1.3.4</t>
  </si>
  <si>
    <t>검수 및 종료</t>
  </si>
  <si>
    <t>시스템 개발</t>
  </si>
  <si>
    <t>2.1.1</t>
  </si>
  <si>
    <t>요구사항정의</t>
  </si>
  <si>
    <t>2.1.2</t>
  </si>
  <si>
    <t>논리모델구축</t>
  </si>
  <si>
    <t>2.1.2.1</t>
  </si>
  <si>
    <t>프로세스모델링</t>
  </si>
  <si>
    <t>2.1.2.2</t>
  </si>
  <si>
    <t>데이터모델링</t>
  </si>
  <si>
    <t>2.2.1</t>
  </si>
  <si>
    <t>UI 설계</t>
  </si>
  <si>
    <t>2.2.2</t>
  </si>
  <si>
    <t>시스템 설계</t>
  </si>
  <si>
    <t>2.2.2.1</t>
  </si>
  <si>
    <t>Architecture설계</t>
  </si>
  <si>
    <t>2.2.2.2</t>
  </si>
  <si>
    <t>데이터베이스설계</t>
  </si>
  <si>
    <t>2.2.2.3</t>
  </si>
  <si>
    <t>프로그램설계</t>
  </si>
  <si>
    <t>2.2.3</t>
  </si>
  <si>
    <t>테스트 설계</t>
  </si>
  <si>
    <t>2.3.1</t>
  </si>
  <si>
    <t>프로그램 개발</t>
  </si>
  <si>
    <t>2.3.1.1</t>
  </si>
  <si>
    <t>단위테스트시나리오작성</t>
  </si>
  <si>
    <t>2.3.1.2</t>
  </si>
  <si>
    <t>2.3.1.2.1</t>
  </si>
  <si>
    <t>2.3.1.2.1.1</t>
  </si>
  <si>
    <t>프로그램A</t>
  </si>
  <si>
    <t>2.3.1.2.1.2</t>
  </si>
  <si>
    <t>프로그램B</t>
  </si>
  <si>
    <t>2.3.1.2.1.3</t>
  </si>
  <si>
    <t>프로그램C</t>
  </si>
  <si>
    <t>2.3.1.2.2</t>
  </si>
  <si>
    <t>모듈B</t>
  </si>
  <si>
    <t>2.3.1.2.3</t>
  </si>
  <si>
    <t>모듈C</t>
  </si>
  <si>
    <t>2.3.1.2.4</t>
  </si>
  <si>
    <t>모듈D</t>
  </si>
  <si>
    <t>2.3.2</t>
  </si>
  <si>
    <t>2.3.2.1</t>
  </si>
  <si>
    <t>통합테스트실시</t>
  </si>
  <si>
    <t>2.3.2.2</t>
  </si>
  <si>
    <t>시스템테스트실시</t>
  </si>
  <si>
    <t>구현</t>
  </si>
  <si>
    <t>2.4.1</t>
  </si>
  <si>
    <t>2.4.1.1</t>
  </si>
  <si>
    <t>Release 및 Contingency plan수립</t>
  </si>
  <si>
    <t>2.4.2</t>
  </si>
  <si>
    <t>2.4.2.1</t>
  </si>
  <si>
    <t>데이터베이스구축</t>
  </si>
  <si>
    <t>2.4.2.2</t>
  </si>
  <si>
    <t>소프트웨어설치</t>
  </si>
  <si>
    <t>2.4.2.3</t>
  </si>
  <si>
    <t>인수테스트실시</t>
  </si>
  <si>
    <t>2.4.2.4</t>
  </si>
  <si>
    <t>시스템오픈</t>
  </si>
  <si>
    <t>2.1</t>
  </si>
  <si>
    <t>2.2</t>
  </si>
  <si>
    <t>2.3</t>
  </si>
  <si>
    <t>2.4</t>
  </si>
  <si>
    <t>01/05
W2</t>
  </si>
  <si>
    <t>{"TASK_FIRST_COL":"5","START_ROW":"5","WBS_AREA_LAST_COL":"31"}</t>
    <phoneticPr fontId="4" type="noConversion"/>
  </si>
  <si>
    <t>DEFINED</t>
    <phoneticPr fontId="4" type="noConversion"/>
  </si>
  <si>
    <t>Server가 별도로 존재하는 IT시스템의 일정관리 데이터를 PC에서 보고자할 때 Server에서 일정관리 데이터를 ServerData 시트에 넣은 후 파일을 다운로드하고 XLGantt 파일을 열면 이 데이터가 Schedule 시트로 들어온다. 서버에서 작업연결정보를 내려주면 작업을 연결해서 보여준다.</t>
    <phoneticPr fontId="2" type="noConversion"/>
  </si>
  <si>
    <t>작업량, 진척율 등을 볼 수 있다.</t>
    <phoneticPr fontId="2" type="noConversion"/>
  </si>
  <si>
    <t>담당별 진행율, Workload등 분석용 Report를 만들어서 보여준다.</t>
    <phoneticPr fontId="2" type="noConversion"/>
  </si>
  <si>
    <t>프로젝트의 휴무일을 설정한다.</t>
    <phoneticPr fontId="2" type="noConversion"/>
  </si>
  <si>
    <t>Server가 별도로 존재하는 IT시스템의 일정관리 Data를 PC에서 보고자할 때 사용한다.</t>
    <phoneticPr fontId="2" type="noConversion"/>
  </si>
  <si>
    <t>XLGantt Version 3.0.0 사용조건</t>
    <phoneticPr fontId="2" type="noConversion"/>
  </si>
  <si>
    <t>Workload data를 주별/월별로 만들어 준다. 피벗 등의 기능으로 사용자가 원하는대로 분석을 할 수 있다.</t>
    <phoneticPr fontId="2" type="noConversion"/>
  </si>
  <si>
    <t>로그인</t>
  </si>
  <si>
    <t>김이든, 문은빈</t>
  </si>
  <si>
    <t>마이페이지(판매자)</t>
  </si>
  <si>
    <t>메인페이지(판매자)</t>
  </si>
  <si>
    <t>커뮤니티</t>
  </si>
  <si>
    <t>02/02
W6</t>
  </si>
  <si>
    <t>03/01
W10</t>
  </si>
  <si>
    <t>03/29
W14</t>
  </si>
  <si>
    <t>04/26
W18</t>
  </si>
  <si>
    <t>마이페이지(이용자)</t>
  </si>
  <si>
    <t>메인페이지(이용자)</t>
  </si>
  <si>
    <t>2.3.1.2.5</t>
  </si>
  <si>
    <t>2.3.1.2.6</t>
  </si>
  <si>
    <t>2.3.1.2.7</t>
  </si>
  <si>
    <t>랭킹</t>
  </si>
  <si>
    <t>SCHEDULE_SHEET_POSITION:3545151617181920212223242526272829303132</t>
    <phoneticPr fontId="2" type="noConversion"/>
  </si>
  <si>
    <t>프로젝트기획서.hwp</t>
  </si>
  <si>
    <t>시장조사 및 벤치마킹</t>
  </si>
  <si>
    <t>분석보고서.hwp</t>
  </si>
  <si>
    <t>컨텐츠 기획</t>
  </si>
  <si>
    <t>컨텐츠기획서.hwp</t>
  </si>
  <si>
    <t>2.1.3</t>
  </si>
  <si>
    <t>2.1.3.1</t>
  </si>
  <si>
    <t>2.1.3.2</t>
  </si>
  <si>
    <t>디자인기획서.hwp</t>
  </si>
  <si>
    <t>DB설계보고서</t>
  </si>
  <si>
    <t>메뉴구성도, 웹사이트메뉴 구조표</t>
  </si>
  <si>
    <t>1.2.5</t>
  </si>
  <si>
    <t>김주은</t>
  </si>
  <si>
    <t>한혜은</t>
  </si>
  <si>
    <t>서버, DB</t>
  </si>
  <si>
    <t>서버구축(AWS)</t>
  </si>
  <si>
    <t>EC2 인스턴스 생성</t>
  </si>
  <si>
    <t>개발환경 구축</t>
  </si>
  <si>
    <t>스키마 생성</t>
  </si>
  <si>
    <t>모델 생성</t>
  </si>
  <si>
    <t>관계정의</t>
  </si>
  <si>
    <t>저장소 생성</t>
  </si>
  <si>
    <t>S3 버킷 생성</t>
  </si>
  <si>
    <t>CloudFront 생성</t>
  </si>
  <si>
    <t>파일 업로드 및 다운로드</t>
  </si>
  <si>
    <t>로그인 구현</t>
  </si>
  <si>
    <t>회원가입 및 로그인</t>
  </si>
  <si>
    <t>라우팅, 컨트롤러</t>
  </si>
  <si>
    <t>2.3.1.4.5.3</t>
  </si>
  <si>
    <t>2.3.1.4.5.4</t>
  </si>
  <si>
    <t>2.3.1.4.5.6</t>
  </si>
  <si>
    <t>프로토 타입 발표</t>
  </si>
  <si>
    <t>PPT 작성</t>
  </si>
  <si>
    <t>발표 준비</t>
  </si>
  <si>
    <t>프로토타입 결과분석 보고서 작성</t>
  </si>
  <si>
    <t>아두이노</t>
  </si>
  <si>
    <t>하드웨어 테스트</t>
  </si>
  <si>
    <t>ESP8266 NodeMCU테스트</t>
  </si>
  <si>
    <t>Flex센서 테스트</t>
  </si>
  <si>
    <t>Mqtt통신 테스트</t>
  </si>
  <si>
    <t>Mqtt통신 테스트 및 오류 수정</t>
  </si>
  <si>
    <t>코드작성</t>
  </si>
  <si>
    <t>테스트 및 오류 수정</t>
  </si>
  <si>
    <t>하드웨어 제작</t>
  </si>
  <si>
    <t>낚시대 센서 부착 및 테스트</t>
  </si>
  <si>
    <t>하드웨어틀 제작</t>
  </si>
  <si>
    <t>완제품 만들기</t>
  </si>
  <si>
    <t>2.3.1.3</t>
  </si>
  <si>
    <t>2.3.1.1.1</t>
  </si>
  <si>
    <t>2.3.1.1.2</t>
  </si>
  <si>
    <t>2.3.1.3.1</t>
  </si>
  <si>
    <t>2.3.1.3.2</t>
  </si>
  <si>
    <t>웹앱 서비스</t>
  </si>
  <si>
    <t>2.3.1.1.1.1</t>
  </si>
  <si>
    <t>2.3.1.1.2.1</t>
  </si>
  <si>
    <t>2.3.1.1.3</t>
  </si>
  <si>
    <t>2.3.1.1.3.1</t>
  </si>
  <si>
    <t>2.3.1.1.3.2</t>
  </si>
  <si>
    <t>2.3.1.1.4</t>
  </si>
  <si>
    <t>2.3.1.1.4.1</t>
  </si>
  <si>
    <t>2.3.1.1.4.2</t>
  </si>
  <si>
    <t>2.3.1.1.4.3</t>
  </si>
  <si>
    <t>2.3.1.3.3</t>
  </si>
  <si>
    <t>2.3.1.3.4</t>
  </si>
  <si>
    <t>2.3.1.3.5</t>
  </si>
  <si>
    <t>2.3.1.3.6</t>
  </si>
  <si>
    <t>2.3.1.3.2.1</t>
  </si>
  <si>
    <t>2.3.1.3.3.1</t>
  </si>
  <si>
    <t>2.3.1.3.4.1</t>
  </si>
  <si>
    <t>2.3.1.3.4.1</t>
    <phoneticPr fontId="4" type="noConversion"/>
  </si>
  <si>
    <t>마이페이지</t>
  </si>
  <si>
    <t>프로필 정보</t>
  </si>
  <si>
    <t>예약관리(대여자)</t>
  </si>
  <si>
    <t>예약 확인(이용자)</t>
  </si>
  <si>
    <t>어종 확인</t>
  </si>
  <si>
    <t>기능 구현</t>
  </si>
  <si>
    <t>예약</t>
  </si>
  <si>
    <t>예약서비스(이용자)</t>
  </si>
  <si>
    <t>예약 정보 및 알람(판매자)</t>
  </si>
  <si>
    <t>2.3.1.3.4.2</t>
  </si>
  <si>
    <t>2.3.1.3.4.2</t>
    <phoneticPr fontId="4" type="noConversion"/>
  </si>
  <si>
    <t xml:space="preserve">2.3.1.3.4.3
</t>
    <phoneticPr fontId="4" type="noConversion"/>
  </si>
  <si>
    <t>2.3.1.3.4.3</t>
  </si>
  <si>
    <t>05/24
W22</t>
  </si>
  <si>
    <t>06/21
W26</t>
  </si>
  <si>
    <t>reserved</t>
    <phoneticPr fontId="4" type="noConversion"/>
  </si>
  <si>
    <t>wbs_level</t>
    <phoneticPr fontId="4" type="noConversion"/>
  </si>
  <si>
    <t>WBS</t>
    <phoneticPr fontId="4" type="noConversion"/>
  </si>
  <si>
    <t>시작일*</t>
    <phoneticPr fontId="4" type="noConversion"/>
  </si>
  <si>
    <t>Calendar</t>
    <phoneticPr fontId="4" type="noConversion"/>
  </si>
  <si>
    <t>계획</t>
    <phoneticPr fontId="4" type="noConversion"/>
  </si>
  <si>
    <t>월간보고4</t>
  </si>
  <si>
    <t>금상원, 김이든, 김주은, 문은빈, 한헤은</t>
  </si>
  <si>
    <t>김주은, 한혜은</t>
  </si>
  <si>
    <t>2.3.1.1.1.2</t>
  </si>
  <si>
    <t>2.3.1.3.1.1</t>
  </si>
  <si>
    <t>2.3.1.3.1.2</t>
  </si>
  <si>
    <t>RDS생성</t>
  </si>
  <si>
    <t>2.3.1.3.3.2</t>
  </si>
  <si>
    <t>2.3.1.3.3.3</t>
  </si>
  <si>
    <t>2.3.1.3.5.1</t>
  </si>
  <si>
    <t>총_x000D_
작업량</t>
    <phoneticPr fontId="4" type="noConversion"/>
  </si>
  <si>
    <t>RDS 생성 및 연동</t>
  </si>
  <si>
    <t>크롤링</t>
  </si>
  <si>
    <t>2.3.1.3.6.1</t>
  </si>
  <si>
    <t>2.3.1.3.6.2</t>
  </si>
  <si>
    <t>2.3.1.3.6.3</t>
  </si>
  <si>
    <t>CRUD</t>
  </si>
  <si>
    <t>낚시터 정보 크롤링</t>
  </si>
  <si>
    <t>날씨정보 크롤링</t>
  </si>
  <si>
    <t>물때 정보 크롤링</t>
  </si>
  <si>
    <t>크롤링 자동화 설정</t>
  </si>
  <si>
    <t>2.3.1.3.6.4</t>
  </si>
  <si>
    <t>크롤링데이터</t>
  </si>
  <si>
    <t>크롤링데이터(낚시터, 날씨, 물때 정보) 확인</t>
  </si>
  <si>
    <t>금상원</t>
  </si>
  <si>
    <r>
      <t xml:space="preserve">  </t>
    </r>
    <r>
      <rPr>
        <b/>
        <sz val="9"/>
        <color rgb="FFFF8800"/>
        <rFont val="맑은 고딕"/>
        <family val="3"/>
        <charset val="129"/>
      </rPr>
      <t>주별보기</t>
    </r>
    <r>
      <rPr>
        <b/>
        <sz val="9"/>
        <color rgb="FFFF8800"/>
        <rFont val="Calibri"/>
        <family val="2"/>
      </rPr>
      <t xml:space="preserve">, Zoom 100%, </t>
    </r>
    <r>
      <rPr>
        <b/>
        <sz val="9"/>
        <color rgb="FFFF8800"/>
        <rFont val="맑은 고딕"/>
        <family val="3"/>
        <charset val="129"/>
      </rPr>
      <t>계산</t>
    </r>
    <r>
      <rPr>
        <b/>
        <sz val="9"/>
        <color rgb="FFFF8800"/>
        <rFont val="Calibri"/>
        <family val="2"/>
      </rPr>
      <t xml:space="preserve"> </t>
    </r>
    <r>
      <rPr>
        <b/>
        <sz val="9"/>
        <color rgb="FFFF8800"/>
        <rFont val="맑은 고딕"/>
        <family val="3"/>
        <charset val="129"/>
      </rPr>
      <t>옵션</t>
    </r>
    <r>
      <rPr>
        <b/>
        <sz val="9"/>
        <color rgb="FFFF8800"/>
        <rFont val="Calibri"/>
        <family val="2"/>
      </rPr>
      <t xml:space="preserve"> : </t>
    </r>
    <r>
      <rPr>
        <b/>
        <sz val="9"/>
        <color rgb="FFFF8800"/>
        <rFont val="맑은 고딕"/>
        <family val="3"/>
        <charset val="129"/>
      </rPr>
      <t>수동</t>
    </r>
  </si>
  <si>
    <t>프로토타입 보고</t>
  </si>
  <si>
    <t>프로토타입</t>
  </si>
  <si>
    <t>DB구축</t>
  </si>
  <si>
    <t>2.3.1.3.7</t>
  </si>
  <si>
    <t>2.3.1.3.7.1</t>
  </si>
  <si>
    <t>2.3.1.3.7.1.1</t>
  </si>
  <si>
    <t>2.3.1.3.7.3</t>
  </si>
  <si>
    <t>2.3.1.3.7.2</t>
  </si>
  <si>
    <t>2.3.1.3.7.2.1</t>
  </si>
  <si>
    <t>2.3.1.3.7.2.2</t>
  </si>
  <si>
    <t>2.3.1.3.7.2.3</t>
  </si>
  <si>
    <t>2.3.1.3.7.3.1</t>
  </si>
  <si>
    <t>2.3.1.3.7.3.2</t>
  </si>
  <si>
    <t>2.3.1.3.7.4</t>
  </si>
  <si>
    <t>2.3.1.3.7.4.1</t>
  </si>
  <si>
    <t>2.3.1.3.7.4.2</t>
  </si>
  <si>
    <t>2.3.1.3.7.5</t>
  </si>
  <si>
    <t>2.3.1.3.7.5.1</t>
  </si>
  <si>
    <t>project_information</t>
  </si>
  <si>
    <t>__확인사항</t>
  </si>
  <si>
    <t>XYZ시스템 구축</t>
  </si>
  <si>
    <t>1;3;4;0;1</t>
  </si>
  <si>
    <t>2;4;8;0;1</t>
  </si>
  <si>
    <t>3;5;6;0;0</t>
  </si>
  <si>
    <t>4;8;9;0;1</t>
  </si>
  <si>
    <t>범위확정시 주요화면 준비</t>
  </si>
  <si>
    <t>5;7;11;0;1</t>
  </si>
  <si>
    <t>6;11;12;0;1</t>
  </si>
  <si>
    <t>7;10;14;0;1</t>
  </si>
  <si>
    <t>8;14;15;0;1</t>
  </si>
  <si>
    <t>9;15;16;0;1</t>
  </si>
  <si>
    <t>성능테스트Tool필요</t>
  </si>
  <si>
    <t>UAT</t>
  </si>
  <si>
    <t>釣り針</t>
    <phoneticPr fontId="4" type="noConversion"/>
  </si>
  <si>
    <t>task_group</t>
    <phoneticPr fontId="4" type="noConversion"/>
  </si>
  <si>
    <t>실제_x000D_
총작업량</t>
    <phoneticPr fontId="4"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</si>
</sst>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176" formatCode="0_);[Red]\(0\)"/>
    <numFmt numFmtId="177" formatCode="0.0"/>
    <numFmt numFmtId="178" formatCode="0.0_);[Red]\(0.0\)"/>
    <numFmt numFmtId="179" formatCode="0.00_);[Red]\(0.00\)"/>
    <numFmt numFmtId="180" formatCode="dd"/>
  </numFmts>
  <fonts count="59">
    <font>
      <sz val="11"/>
      <color theme="1"/>
      <name val="맑은 고딕"/>
      <family val="2"/>
      <scheme val="minor"/>
    </font>
    <font>
      <sz val="10"/>
      <color theme="0"/>
      <name val="맑은 고딕"/>
      <family val="2"/>
      <charset val="129"/>
    </font>
    <font>
      <sz val="8"/>
      <name val="맑은 고딕"/>
      <family val="3"/>
      <charset val="129"/>
      <scheme val="minor"/>
    </font>
    <font>
      <u/>
      <sz val="11"/>
      <color theme="10"/>
      <name val="돋움"/>
      <family val="3"/>
      <charset val="129"/>
    </font>
    <font>
      <sz val="8"/>
      <name val="돋움"/>
      <family val="3"/>
      <charset val="129"/>
    </font>
    <font>
      <sz val="11"/>
      <name val="돋움"/>
      <family val="3"/>
      <charset val="129"/>
    </font>
    <font>
      <sz val="9"/>
      <color rgb="FF0070C0"/>
      <name val="Calibri"/>
      <family val="2"/>
    </font>
    <font>
      <b/>
      <sz val="16"/>
      <color rgb="FF0070C0"/>
      <name val="Calibri"/>
      <family val="2"/>
    </font>
    <font>
      <b/>
      <sz val="16"/>
      <color theme="0"/>
      <name val="Calibri"/>
      <family val="2"/>
    </font>
    <font>
      <sz val="11"/>
      <name val="Calibri"/>
      <family val="2"/>
    </font>
    <font>
      <sz val="10"/>
      <name val="Calibri"/>
      <family val="2"/>
    </font>
    <font>
      <sz val="10"/>
      <color rgb="FF0070C0"/>
      <name val="Calibri"/>
      <family val="2"/>
    </font>
    <font>
      <b/>
      <sz val="10"/>
      <color rgb="FF0070C0"/>
      <name val="Calibri"/>
      <family val="2"/>
    </font>
    <font>
      <b/>
      <sz val="10"/>
      <name val="Calibri"/>
      <family val="2"/>
    </font>
    <font>
      <sz val="14"/>
      <name val="Calibri"/>
      <family val="2"/>
    </font>
    <font>
      <sz val="11"/>
      <color theme="0"/>
      <name val="Calibri"/>
      <family val="2"/>
    </font>
    <font>
      <sz val="11"/>
      <color theme="1"/>
      <name val="맑은 고딕"/>
      <family val="3"/>
      <charset val="129"/>
      <scheme val="minor"/>
    </font>
    <font>
      <sz val="10"/>
      <color theme="1"/>
      <name val="Calibri"/>
      <family val="2"/>
    </font>
    <font>
      <sz val="11"/>
      <name val="CA"/>
      <family val="2"/>
    </font>
    <font>
      <sz val="12"/>
      <name val="맑은 고딕"/>
      <family val="3"/>
      <charset val="129"/>
      <scheme val="minor"/>
    </font>
    <font>
      <sz val="8"/>
      <name val="Arial"/>
      <family val="2"/>
    </font>
    <font>
      <sz val="10"/>
      <name val="맑은 고딕"/>
      <family val="3"/>
      <charset val="129"/>
      <scheme val="minor"/>
    </font>
    <font>
      <b/>
      <sz val="11"/>
      <color theme="1"/>
      <name val="맑은 고딕"/>
      <family val="3"/>
      <charset val="129"/>
      <scheme val="minor"/>
    </font>
    <font>
      <sz val="11"/>
      <name val="맑은 고딕"/>
      <family val="3"/>
      <charset val="129"/>
      <scheme val="minor"/>
    </font>
    <font>
      <b/>
      <u/>
      <sz val="11"/>
      <color theme="0"/>
      <name val="맑은 고딕"/>
      <family val="3"/>
      <charset val="129"/>
      <scheme val="minor"/>
    </font>
    <font>
      <b/>
      <sz val="12"/>
      <color theme="1"/>
      <name val="맑은 고딕"/>
      <family val="3"/>
      <charset val="129"/>
      <scheme val="minor"/>
    </font>
    <font>
      <b/>
      <sz val="11"/>
      <color theme="0"/>
      <name val="맑은 고딕"/>
      <family val="3"/>
      <charset val="129"/>
      <scheme val="minor"/>
    </font>
    <font>
      <b/>
      <u/>
      <sz val="11"/>
      <color theme="10"/>
      <name val="맑은 고딕"/>
      <family val="3"/>
      <charset val="129"/>
      <scheme val="minor"/>
    </font>
    <font>
      <b/>
      <u/>
      <sz val="12"/>
      <color rgb="FFFF8800"/>
      <name val="맑은 고딕"/>
      <family val="3"/>
      <charset val="129"/>
      <scheme val="minor"/>
    </font>
    <font>
      <sz val="9"/>
      <color theme="0"/>
      <name val="맑은 고딕"/>
      <family val="3"/>
      <charset val="129"/>
      <scheme val="minor"/>
    </font>
    <font>
      <sz val="9"/>
      <color theme="1"/>
      <name val="맑은 고딕"/>
      <family val="3"/>
      <charset val="129"/>
      <scheme val="minor"/>
    </font>
    <font>
      <sz val="9"/>
      <color rgb="FFFF0000"/>
      <name val="맑은 고딕"/>
      <family val="3"/>
      <charset val="129"/>
      <scheme val="minor"/>
    </font>
    <font>
      <sz val="9"/>
      <name val="맑은 고딕"/>
      <family val="3"/>
      <charset val="129"/>
      <scheme val="minor"/>
    </font>
    <font>
      <u/>
      <sz val="11"/>
      <color theme="10"/>
      <name val="맑은 고딕"/>
      <family val="3"/>
      <charset val="129"/>
      <scheme val="minor"/>
    </font>
    <font>
      <b/>
      <sz val="11"/>
      <name val="맑은 고딕"/>
      <family val="3"/>
      <charset val="129"/>
      <scheme val="minor"/>
    </font>
    <font>
      <sz val="11"/>
      <color rgb="FF333333"/>
      <name val="맑은 고딕"/>
      <family val="3"/>
      <charset val="129"/>
      <scheme val="minor"/>
    </font>
    <font>
      <b/>
      <sz val="18"/>
      <color theme="1"/>
      <name val="맑은 고딕"/>
      <family val="3"/>
      <charset val="129"/>
      <scheme val="minor"/>
    </font>
    <font>
      <b/>
      <sz val="14"/>
      <color theme="1"/>
      <name val="맑은 고딕"/>
      <family val="3"/>
      <charset val="129"/>
      <scheme val="minor"/>
    </font>
    <font>
      <sz val="11"/>
      <color theme="1"/>
      <name val="맑은 고딕"/>
      <family val="2"/>
      <scheme val="minor"/>
    </font>
    <font>
      <b/>
      <sz val="14"/>
      <color rgb="FFFF8800"/>
      <name val="Calibri"/>
      <family val="2"/>
    </font>
    <font>
      <b/>
      <sz val="9"/>
      <color rgb="FFFF8800"/>
      <name val="Calibri"/>
      <family val="2"/>
    </font>
    <font>
      <sz val="12"/>
      <color rgb="FF222222"/>
      <name val="맑은 고딕"/>
      <family val="3"/>
      <charset val="129"/>
      <scheme val="minor"/>
    </font>
    <font>
      <sz val="10"/>
      <name val="Calibri"/>
      <family val="3"/>
      <charset val="129"/>
    </font>
    <font>
      <sz val="9"/>
      <color theme="0" tint="-0.34998626667073579"/>
      <name val="Calibri"/>
      <family val="2"/>
    </font>
    <font>
      <b/>
      <sz val="10"/>
      <color rgb="FF0070C0"/>
      <name val="맑은 고딕"/>
      <family val="3"/>
      <charset val="129"/>
      <scheme val="major"/>
    </font>
    <font>
      <sz val="10"/>
      <color rgb="FF0070C0"/>
      <name val="맑은 고딕"/>
      <family val="3"/>
      <charset val="129"/>
      <scheme val="major"/>
    </font>
    <font>
      <b/>
      <sz val="10"/>
      <name val="맑은 고딕"/>
      <family val="3"/>
      <charset val="129"/>
      <scheme val="major"/>
    </font>
    <font>
      <b/>
      <sz val="16"/>
      <name val="맑은 고딕"/>
      <family val="3"/>
      <charset val="129"/>
      <scheme val="major"/>
    </font>
    <font>
      <b/>
      <sz val="10"/>
      <color theme="1" tint="0.34998626667073579"/>
      <name val="맑은 고딕"/>
      <family val="3"/>
      <charset val="129"/>
      <scheme val="major"/>
    </font>
    <font>
      <sz val="10"/>
      <color theme="1" tint="0.34998626667073579"/>
      <name val="맑은 고딕"/>
      <family val="3"/>
      <charset val="129"/>
      <scheme val="major"/>
    </font>
    <font>
      <sz val="10"/>
      <color theme="0"/>
      <name val="맑은 고딕"/>
      <family val="3"/>
      <charset val="129"/>
      <scheme val="major"/>
    </font>
    <font>
      <sz val="8"/>
      <name val="맑은 고딕"/>
      <family val="3"/>
      <charset val="129"/>
      <scheme val="major"/>
    </font>
    <font>
      <sz val="8"/>
      <color rgb="FFFF8800"/>
      <name val="맑은 고딕"/>
      <family val="3"/>
      <charset val="129"/>
      <scheme val="major"/>
    </font>
    <font>
      <sz val="10"/>
      <name val="맑은 고딕"/>
      <family val="3"/>
      <charset val="129"/>
      <scheme val="major"/>
    </font>
    <font>
      <sz val="9"/>
      <name val="맑은 고딕"/>
      <family val="3"/>
      <charset val="129"/>
      <scheme val="major"/>
    </font>
    <font>
      <sz val="10"/>
      <color theme="1"/>
      <name val="맑은 고딕"/>
      <family val="3"/>
      <charset val="129"/>
      <scheme val="major"/>
    </font>
    <font>
      <b/>
      <sz val="10"/>
      <color theme="1"/>
      <name val="맑은 고딕"/>
      <family val="3"/>
      <charset val="129"/>
      <scheme val="major"/>
    </font>
    <font>
      <sz val="8"/>
      <color theme="0"/>
      <name val="맑은 고딕"/>
      <family val="3"/>
      <charset val="129"/>
      <scheme val="major"/>
    </font>
    <font>
      <b/>
      <sz val="9"/>
      <color rgb="FFFF8800"/>
      <name val="맑은 고딕"/>
      <family val="3"/>
      <charset val="129"/>
    </font>
  </fonts>
  <fills count="18">
    <fill>
      <patternFill patternType="none"/>
    </fill>
    <fill>
      <patternFill patternType="gray125"/>
    </fill>
    <fill>
      <patternFill patternType="solid">
        <fgColor theme="8"/>
      </patternFill>
    </fill>
    <fill>
      <patternFill patternType="solid">
        <fgColor theme="0"/>
        <bgColor indexed="64"/>
      </patternFill>
    </fill>
    <fill>
      <patternFill patternType="solid">
        <fgColor rgb="FF00B0F0"/>
        <bgColor indexed="64"/>
      </patternFill>
    </fill>
    <fill>
      <patternFill patternType="solid">
        <fgColor rgb="FFFF8800"/>
        <bgColor indexed="64"/>
      </patternFill>
    </fill>
    <fill>
      <patternFill patternType="solid">
        <fgColor theme="0" tint="-0.14999847407452621"/>
        <bgColor indexed="64"/>
      </patternFill>
    </fill>
    <fill>
      <patternFill patternType="solid">
        <fgColor rgb="FFEAEAEA"/>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rgb="FF3399FF"/>
        <bgColor indexed="64"/>
      </patternFill>
    </fill>
    <fill>
      <patternFill patternType="solid">
        <fgColor rgb="FFF2F2FF"/>
        <bgColor indexed="64"/>
      </patternFill>
    </fill>
    <fill>
      <patternFill patternType="solid">
        <fgColor theme="0" tint="-0.34998626667073579"/>
        <bgColor indexed="64"/>
      </patternFill>
    </fill>
    <fill>
      <patternFill patternType="solid">
        <fgColor rgb="FFFF6600"/>
        <bgColor indexed="64"/>
      </patternFill>
    </fill>
    <fill>
      <patternFill patternType="solid">
        <fgColor rgb="FF00A44A"/>
        <bgColor indexed="64"/>
      </patternFill>
    </fill>
    <fill>
      <patternFill patternType="solid">
        <fgColor rgb="FF198CFF"/>
        <bgColor indexed="64"/>
      </patternFill>
    </fill>
    <fill>
      <patternFill patternType="solid">
        <fgColor rgb="FFFFC000"/>
        <bgColor indexed="64"/>
      </patternFill>
    </fill>
    <fill>
      <patternFill patternType="solid">
        <fgColor theme="2"/>
        <bgColor indexed="64"/>
      </patternFill>
    </fill>
  </fills>
  <borders count="29">
    <border>
      <left/>
      <right/>
      <top/>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right/>
      <top style="thin">
        <color theme="0"/>
      </top>
      <bottom style="thin">
        <color theme="0"/>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theme="0" tint="-0.14993743705557422"/>
      </top>
      <bottom/>
      <diagonal/>
    </border>
    <border>
      <left style="thin">
        <color indexed="64"/>
      </left>
      <right style="thin">
        <color indexed="64"/>
      </right>
      <top style="thin">
        <color indexed="64"/>
      </top>
      <bottom style="thin">
        <color indexed="64"/>
      </bottom>
      <diagonal/>
    </border>
    <border>
      <left/>
      <right/>
      <top/>
      <bottom style="thin">
        <color theme="0" tint="-0.14996795556505021"/>
      </bottom>
      <diagonal/>
    </border>
    <border>
      <left/>
      <right/>
      <top style="thin">
        <color theme="0" tint="-0.14996795556505021"/>
      </top>
      <bottom/>
      <diagonal/>
    </border>
    <border>
      <left/>
      <right/>
      <top/>
      <bottom style="thin">
        <color theme="0" tint="-0.14993743705557422"/>
      </bottom>
      <diagonal/>
    </border>
    <border>
      <left/>
      <right/>
      <top/>
      <bottom style="thin">
        <color theme="0" tint="-0.14990691854609822"/>
      </bottom>
      <diagonal/>
    </border>
    <border>
      <left/>
      <right/>
      <top style="thin">
        <color theme="0" tint="-0.14990691854609822"/>
      </top>
      <bottom/>
      <diagonal/>
    </border>
    <border>
      <left/>
      <right/>
      <top/>
      <bottom style="thin">
        <color theme="0" tint="-0.14987640003662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right/>
      <top/>
      <bottom style="thin">
        <color indexed="64"/>
      </bottom>
      <diagonal/>
    </border>
    <border>
      <left style="thin">
        <color indexed="64"/>
      </left>
      <right style="thin">
        <color indexed="64"/>
      </right>
      <top style="thin">
        <color indexed="64"/>
      </top>
      <bottom/>
      <diagonal/>
    </border>
    <border>
      <left/>
      <right/>
      <top/>
      <bottom style="thick">
        <color theme="0"/>
      </bottom>
      <diagonal/>
    </border>
    <border>
      <left/>
      <right/>
      <top style="thin">
        <color indexed="64"/>
      </top>
      <bottom style="thin">
        <color indexed="64"/>
      </bottom>
      <diagonal/>
    </border>
    <border>
      <left style="thin">
        <color theme="0"/>
      </left>
      <right style="thin">
        <color theme="0" tint="-4.9989318521683403E-2"/>
      </right>
      <top/>
      <bottom/>
      <diagonal/>
    </border>
    <border>
      <left style="thin">
        <color theme="0" tint="-4.9989318521683403E-2"/>
      </left>
      <right style="thin">
        <color theme="0"/>
      </right>
      <top/>
      <bottom/>
      <diagonal/>
    </border>
    <border>
      <left style="thin">
        <color theme="0" tint="-4.9989318521683403E-2"/>
      </left>
      <right style="thin">
        <color theme="0" tint="-4.9989318521683403E-2"/>
      </right>
      <top/>
      <bottom/>
      <diagonal/>
    </border>
    <border>
      <left/>
      <right/>
      <top/>
      <bottom style="thin">
        <color theme="0" tint="-0.34998626667073579"/>
      </bottom>
      <diagonal/>
    </border>
    <border>
      <left/>
      <right/>
      <top style="thin">
        <color theme="0" tint="-0.14993743705557422"/>
      </top>
      <bottom style="thin">
        <color theme="0" tint="-0.14993743705557422"/>
      </bottom>
      <diagonal/>
    </border>
    <border>
      <left/>
      <right/>
      <top/>
      <bottom style="thin">
        <color theme="0"/>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tint="-0.14996795556505021"/>
      </left>
      <right style="thin">
        <color theme="0" tint="-0.14996795556505021"/>
      </right>
      <top/>
      <bottom style="thin">
        <color theme="0" tint="-0.14996795556505021"/>
      </bottom>
      <diagonal/>
    </border>
    <border>
      <left style="thin">
        <color theme="0" tint="-0.1498764000366222"/>
      </left>
      <right style="thin">
        <color theme="0" tint="-0.1498764000366222"/>
      </right>
      <top style="thin">
        <color theme="0" tint="-0.1498764000366222"/>
      </top>
      <bottom style="thin">
        <color theme="0" tint="-0.1498764000366222"/>
      </bottom>
      <diagonal/>
    </border>
  </borders>
  <cellStyleXfs count="7">
    <xf numFmtId="0" fontId="0" fillId="0" borderId="0"/>
    <xf numFmtId="0" fontId="1" fillId="2" borderId="0" applyNumberFormat="0" applyBorder="0" applyAlignment="0" applyProtection="0">
      <alignment vertical="center"/>
    </xf>
    <xf numFmtId="0" fontId="3" fillId="0" borderId="0" applyNumberFormat="0" applyFill="0" applyBorder="0" applyAlignment="0" applyProtection="0"/>
    <xf numFmtId="9" fontId="5" fillId="0" borderId="0" applyFont="0" applyFill="0" applyBorder="0" applyAlignment="0" applyProtection="0">
      <alignment vertical="center"/>
    </xf>
    <xf numFmtId="0" fontId="5" fillId="0" borderId="0"/>
    <xf numFmtId="0" fontId="16" fillId="0" borderId="0"/>
    <xf numFmtId="9" fontId="38" fillId="0" borderId="0" applyFont="0" applyFill="0" applyBorder="0" applyAlignment="0" applyProtection="0">
      <alignment vertical="center"/>
    </xf>
  </cellStyleXfs>
  <cellXfs count="322">
    <xf numFmtId="0" fontId="0" fillId="0" borderId="0" xfId="0"/>
    <xf numFmtId="0" fontId="7" fillId="0" borderId="0" xfId="1" applyFont="1" applyFill="1" applyBorder="1" applyAlignment="1">
      <alignment vertical="center"/>
    </xf>
    <xf numFmtId="0" fontId="6" fillId="0" borderId="0" xfId="1" applyFont="1" applyFill="1" applyBorder="1" applyAlignment="1">
      <alignment vertical="center"/>
    </xf>
    <xf numFmtId="14" fontId="8" fillId="0" borderId="0" xfId="4" applyNumberFormat="1" applyFont="1" applyFill="1" applyBorder="1" applyAlignment="1" applyProtection="1">
      <alignment vertical="center"/>
    </xf>
    <xf numFmtId="14" fontId="9" fillId="0" borderId="0" xfId="4" applyNumberFormat="1" applyFont="1" applyFill="1" applyBorder="1" applyAlignment="1" applyProtection="1">
      <alignment vertical="center"/>
    </xf>
    <xf numFmtId="14" fontId="10" fillId="3" borderId="0" xfId="4" quotePrefix="1" applyNumberFormat="1" applyFont="1" applyFill="1" applyBorder="1" applyProtection="1"/>
    <xf numFmtId="14" fontId="10" fillId="3" borderId="0" xfId="4" applyNumberFormat="1" applyFont="1" applyFill="1" applyBorder="1" applyAlignment="1" applyProtection="1">
      <alignment vertical="center"/>
    </xf>
    <xf numFmtId="0" fontId="10" fillId="3" borderId="0" xfId="4" applyFont="1" applyFill="1" applyBorder="1" applyProtection="1"/>
    <xf numFmtId="176" fontId="12" fillId="3" borderId="0" xfId="4" applyNumberFormat="1" applyFont="1" applyFill="1" applyBorder="1" applyAlignment="1" applyProtection="1">
      <alignment vertical="center"/>
      <protection locked="0"/>
    </xf>
    <xf numFmtId="14" fontId="11" fillId="3" borderId="0" xfId="4" applyNumberFormat="1" applyFont="1" applyFill="1" applyBorder="1" applyAlignment="1" applyProtection="1">
      <alignment vertical="center"/>
    </xf>
    <xf numFmtId="14" fontId="10" fillId="0" borderId="6" xfId="4" applyNumberFormat="1" applyFont="1" applyFill="1" applyBorder="1" applyAlignment="1" applyProtection="1">
      <alignment vertical="top"/>
      <protection locked="0"/>
    </xf>
    <xf numFmtId="14" fontId="10" fillId="0" borderId="6" xfId="4" applyNumberFormat="1" applyFont="1" applyFill="1" applyBorder="1" applyAlignment="1" applyProtection="1">
      <alignment vertical="center"/>
      <protection locked="0"/>
    </xf>
    <xf numFmtId="0" fontId="10" fillId="0" borderId="6" xfId="4" applyFont="1" applyFill="1" applyBorder="1" applyAlignment="1" applyProtection="1">
      <alignment vertical="top"/>
      <protection locked="0"/>
    </xf>
    <xf numFmtId="0" fontId="10" fillId="0" borderId="6" xfId="4" applyFont="1" applyFill="1" applyBorder="1" applyAlignment="1" applyProtection="1">
      <alignment vertical="center" wrapText="1"/>
      <protection locked="0"/>
    </xf>
    <xf numFmtId="0" fontId="10" fillId="0" borderId="6" xfId="4" applyFont="1" applyFill="1" applyBorder="1" applyAlignment="1" applyProtection="1">
      <alignment vertical="center"/>
      <protection locked="0"/>
    </xf>
    <xf numFmtId="0" fontId="10" fillId="0" borderId="0" xfId="4" applyFont="1" applyFill="1" applyBorder="1" applyAlignment="1" applyProtection="1">
      <alignment vertical="top"/>
      <protection locked="0"/>
    </xf>
    <xf numFmtId="14" fontId="13" fillId="0" borderId="0" xfId="4" applyNumberFormat="1" applyFont="1" applyFill="1" applyBorder="1" applyAlignment="1" applyProtection="1">
      <alignment horizontal="right" vertical="top"/>
      <protection locked="0"/>
    </xf>
    <xf numFmtId="179" fontId="10" fillId="6" borderId="7" xfId="4" applyNumberFormat="1" applyFont="1" applyFill="1" applyBorder="1" applyAlignment="1" applyProtection="1">
      <alignment vertical="center"/>
      <protection locked="0"/>
    </xf>
    <xf numFmtId="14" fontId="13" fillId="0" borderId="8" xfId="4" applyNumberFormat="1" applyFont="1" applyFill="1" applyBorder="1" applyAlignment="1" applyProtection="1">
      <alignment horizontal="right" vertical="top"/>
      <protection locked="0"/>
    </xf>
    <xf numFmtId="14" fontId="10" fillId="0" borderId="8" xfId="4" applyNumberFormat="1" applyFont="1" applyFill="1" applyBorder="1" applyAlignment="1" applyProtection="1">
      <alignment vertical="center"/>
      <protection locked="0"/>
    </xf>
    <xf numFmtId="0" fontId="10" fillId="0" borderId="8" xfId="4" applyFont="1" applyFill="1" applyBorder="1" applyAlignment="1" applyProtection="1">
      <alignment vertical="top"/>
      <protection locked="0"/>
    </xf>
    <xf numFmtId="0" fontId="10" fillId="0" borderId="8" xfId="4" applyFont="1" applyFill="1" applyBorder="1" applyAlignment="1" applyProtection="1">
      <alignment vertical="center"/>
      <protection locked="0"/>
    </xf>
    <xf numFmtId="14" fontId="13" fillId="0" borderId="0" xfId="4" applyNumberFormat="1" applyFont="1" applyFill="1" applyBorder="1" applyAlignment="1" applyProtection="1">
      <alignment vertical="top"/>
      <protection locked="0"/>
    </xf>
    <xf numFmtId="14" fontId="10" fillId="0" borderId="0" xfId="4" applyNumberFormat="1" applyFont="1" applyFill="1" applyBorder="1" applyAlignment="1" applyProtection="1">
      <alignment vertical="center"/>
      <protection locked="0"/>
    </xf>
    <xf numFmtId="0" fontId="10" fillId="0" borderId="9" xfId="4" applyFont="1" applyFill="1" applyBorder="1" applyAlignment="1" applyProtection="1">
      <alignment vertical="center" wrapText="1"/>
      <protection locked="0"/>
    </xf>
    <xf numFmtId="14" fontId="10" fillId="0" borderId="0" xfId="4" applyNumberFormat="1" applyFont="1" applyFill="1" applyBorder="1" applyAlignment="1" applyProtection="1">
      <alignment vertical="top"/>
      <protection locked="0"/>
    </xf>
    <xf numFmtId="14" fontId="13" fillId="0" borderId="8" xfId="4" applyNumberFormat="1" applyFont="1" applyFill="1" applyBorder="1" applyAlignment="1" applyProtection="1">
      <alignment vertical="top"/>
      <protection locked="0"/>
    </xf>
    <xf numFmtId="0" fontId="10" fillId="0" borderId="8" xfId="4" applyFont="1" applyFill="1" applyBorder="1" applyAlignment="1" applyProtection="1">
      <alignment vertical="center" wrapText="1"/>
      <protection locked="0"/>
    </xf>
    <xf numFmtId="14" fontId="13" fillId="0" borderId="9" xfId="4" applyNumberFormat="1" applyFont="1" applyFill="1" applyBorder="1" applyAlignment="1" applyProtection="1">
      <alignment vertical="center" wrapText="1"/>
      <protection locked="0"/>
    </xf>
    <xf numFmtId="14" fontId="13" fillId="0" borderId="0" xfId="4" applyNumberFormat="1" applyFont="1" applyFill="1" applyBorder="1" applyAlignment="1" applyProtection="1">
      <alignment horizontal="right" vertical="center" wrapText="1"/>
      <protection locked="0"/>
    </xf>
    <xf numFmtId="14" fontId="13" fillId="0" borderId="8" xfId="4" applyNumberFormat="1" applyFont="1" applyFill="1" applyBorder="1" applyAlignment="1" applyProtection="1">
      <alignment vertical="center" wrapText="1"/>
      <protection locked="0"/>
    </xf>
    <xf numFmtId="0" fontId="10" fillId="0" borderId="8" xfId="4" applyFont="1" applyFill="1" applyBorder="1" applyProtection="1">
      <protection locked="0"/>
    </xf>
    <xf numFmtId="0" fontId="10" fillId="0" borderId="0" xfId="4" applyFont="1" applyFill="1" applyBorder="1" applyProtection="1">
      <protection locked="0"/>
    </xf>
    <xf numFmtId="14" fontId="10" fillId="0" borderId="0" xfId="4" applyNumberFormat="1" applyFont="1" applyFill="1" applyBorder="1" applyProtection="1">
      <protection locked="0"/>
    </xf>
    <xf numFmtId="14" fontId="10" fillId="0" borderId="9" xfId="4" applyNumberFormat="1" applyFont="1" applyFill="1" applyBorder="1" applyAlignment="1" applyProtection="1">
      <alignment vertical="center"/>
      <protection locked="0"/>
    </xf>
    <xf numFmtId="0" fontId="10" fillId="0" borderId="9" xfId="4" applyFont="1" applyFill="1" applyBorder="1" applyProtection="1">
      <protection locked="0"/>
    </xf>
    <xf numFmtId="14" fontId="10" fillId="0" borderId="10" xfId="4" applyNumberFormat="1" applyFont="1" applyFill="1" applyBorder="1" applyAlignment="1" applyProtection="1">
      <alignment vertical="center"/>
      <protection locked="0"/>
    </xf>
    <xf numFmtId="0" fontId="10" fillId="0" borderId="10" xfId="4" applyFont="1" applyFill="1" applyBorder="1" applyAlignment="1" applyProtection="1">
      <alignment vertical="top"/>
      <protection locked="0"/>
    </xf>
    <xf numFmtId="14" fontId="13" fillId="0" borderId="9" xfId="4" applyNumberFormat="1" applyFont="1" applyFill="1" applyBorder="1" applyProtection="1">
      <protection locked="0"/>
    </xf>
    <xf numFmtId="10" fontId="10" fillId="6" borderId="7" xfId="3" applyNumberFormat="1" applyFont="1" applyFill="1" applyBorder="1" applyAlignment="1" applyProtection="1">
      <alignment vertical="center"/>
      <protection locked="0"/>
    </xf>
    <xf numFmtId="14" fontId="13" fillId="0" borderId="10" xfId="4" applyNumberFormat="1" applyFont="1" applyFill="1" applyBorder="1" applyAlignment="1" applyProtection="1">
      <alignment horizontal="right" vertical="top"/>
      <protection locked="0"/>
    </xf>
    <xf numFmtId="14" fontId="13" fillId="0" borderId="6" xfId="4" applyNumberFormat="1" applyFont="1" applyFill="1" applyBorder="1" applyAlignment="1" applyProtection="1">
      <alignment horizontal="right" vertical="top"/>
      <protection locked="0"/>
    </xf>
    <xf numFmtId="14" fontId="13" fillId="0" borderId="11" xfId="4" applyNumberFormat="1" applyFont="1" applyFill="1" applyBorder="1" applyAlignment="1" applyProtection="1">
      <alignment horizontal="right" vertical="top"/>
      <protection locked="0"/>
    </xf>
    <xf numFmtId="14" fontId="10" fillId="0" borderId="11" xfId="4" applyNumberFormat="1" applyFont="1" applyFill="1" applyBorder="1" applyAlignment="1" applyProtection="1">
      <alignment vertical="center"/>
      <protection locked="0"/>
    </xf>
    <xf numFmtId="0" fontId="10" fillId="0" borderId="11" xfId="4" applyFont="1" applyFill="1" applyBorder="1" applyAlignment="1" applyProtection="1">
      <alignment vertical="top"/>
      <protection locked="0"/>
    </xf>
    <xf numFmtId="14" fontId="13" fillId="0" borderId="12" xfId="4" applyNumberFormat="1" applyFont="1" applyFill="1" applyBorder="1" applyAlignment="1" applyProtection="1">
      <alignment vertical="top"/>
      <protection locked="0"/>
    </xf>
    <xf numFmtId="14" fontId="10" fillId="0" borderId="12" xfId="4" applyNumberFormat="1" applyFont="1" applyFill="1" applyBorder="1" applyAlignment="1" applyProtection="1">
      <alignment vertical="center"/>
      <protection locked="0"/>
    </xf>
    <xf numFmtId="0" fontId="10" fillId="0" borderId="12" xfId="4" applyFont="1" applyFill="1" applyBorder="1" applyAlignment="1" applyProtection="1">
      <alignment vertical="top"/>
      <protection locked="0"/>
    </xf>
    <xf numFmtId="0" fontId="10" fillId="0" borderId="9" xfId="4" applyFont="1" applyFill="1" applyBorder="1" applyAlignment="1" applyProtection="1">
      <alignment vertical="center"/>
      <protection locked="0"/>
    </xf>
    <xf numFmtId="10" fontId="10" fillId="6" borderId="7" xfId="3" applyNumberFormat="1" applyFont="1" applyFill="1" applyBorder="1" applyAlignment="1" applyProtection="1">
      <alignment vertical="center"/>
    </xf>
    <xf numFmtId="14" fontId="10" fillId="0" borderId="13" xfId="4" applyNumberFormat="1" applyFont="1" applyFill="1" applyBorder="1" applyAlignment="1" applyProtection="1">
      <alignment horizontal="right" vertical="top"/>
      <protection locked="0"/>
    </xf>
    <xf numFmtId="14" fontId="10" fillId="0" borderId="13" xfId="4" applyNumberFormat="1" applyFont="1" applyFill="1" applyBorder="1" applyAlignment="1" applyProtection="1">
      <alignment vertical="center"/>
      <protection locked="0"/>
    </xf>
    <xf numFmtId="0" fontId="10" fillId="0" borderId="13" xfId="4" applyFont="1" applyFill="1" applyBorder="1" applyAlignment="1" applyProtection="1">
      <alignment vertical="top"/>
      <protection locked="0"/>
    </xf>
    <xf numFmtId="0" fontId="10" fillId="0" borderId="13" xfId="4" applyFont="1" applyFill="1" applyBorder="1" applyAlignment="1" applyProtection="1">
      <alignment vertical="center"/>
      <protection locked="0"/>
    </xf>
    <xf numFmtId="14" fontId="9" fillId="0" borderId="0" xfId="4" applyNumberFormat="1" applyFont="1" applyFill="1" applyBorder="1" applyAlignment="1" applyProtection="1">
      <alignment vertical="top"/>
      <protection locked="0"/>
    </xf>
    <xf numFmtId="14" fontId="9" fillId="0" borderId="0" xfId="4" applyNumberFormat="1" applyFont="1" applyFill="1" applyBorder="1" applyAlignment="1" applyProtection="1">
      <alignment vertical="center"/>
      <protection locked="0"/>
    </xf>
    <xf numFmtId="0" fontId="9" fillId="0" borderId="0" xfId="4" applyFont="1" applyFill="1" applyBorder="1" applyAlignment="1" applyProtection="1">
      <alignment vertical="top"/>
      <protection locked="0"/>
    </xf>
    <xf numFmtId="14" fontId="9" fillId="0" borderId="0" xfId="4" applyNumberFormat="1" applyFont="1" applyFill="1" applyBorder="1" applyProtection="1">
      <protection locked="0"/>
    </xf>
    <xf numFmtId="179" fontId="9" fillId="0" borderId="0" xfId="3" applyNumberFormat="1" applyFont="1" applyFill="1" applyBorder="1" applyAlignment="1" applyProtection="1">
      <alignment vertical="center"/>
      <protection locked="0"/>
    </xf>
    <xf numFmtId="0" fontId="9" fillId="0" borderId="0" xfId="4" applyFont="1" applyFill="1" applyBorder="1" applyProtection="1">
      <protection locked="0"/>
    </xf>
    <xf numFmtId="1" fontId="9" fillId="0" borderId="0" xfId="4" applyNumberFormat="1" applyFont="1" applyFill="1" applyBorder="1" applyAlignment="1" applyProtection="1">
      <alignment vertical="center"/>
      <protection locked="0"/>
    </xf>
    <xf numFmtId="176" fontId="9" fillId="0" borderId="0" xfId="4" applyNumberFormat="1" applyFont="1" applyFill="1" applyBorder="1" applyAlignment="1" applyProtection="1">
      <alignment vertical="center"/>
      <protection locked="0"/>
    </xf>
    <xf numFmtId="0" fontId="7" fillId="0" borderId="0" xfId="4" applyFont="1" applyFill="1" applyBorder="1" applyAlignment="1">
      <alignment vertical="center"/>
    </xf>
    <xf numFmtId="0" fontId="9" fillId="7" borderId="1" xfId="4" applyFont="1" applyFill="1" applyBorder="1" applyAlignment="1">
      <alignment horizontal="left" wrapText="1"/>
    </xf>
    <xf numFmtId="14" fontId="9" fillId="0" borderId="0" xfId="4" applyNumberFormat="1" applyFont="1" applyFill="1" applyProtection="1"/>
    <xf numFmtId="14" fontId="9" fillId="3" borderId="0" xfId="4" applyNumberFormat="1" applyFont="1" applyFill="1" applyAlignment="1" applyProtection="1">
      <alignment vertical="top"/>
    </xf>
    <xf numFmtId="14" fontId="15" fillId="4" borderId="14" xfId="4" applyNumberFormat="1" applyFont="1" applyFill="1" applyBorder="1" applyAlignment="1" applyProtection="1">
      <alignment horizontal="center" vertical="center"/>
    </xf>
    <xf numFmtId="14" fontId="9" fillId="0" borderId="0" xfId="4" applyNumberFormat="1" applyFont="1" applyAlignment="1" applyProtection="1">
      <alignment horizontal="center" vertical="center"/>
    </xf>
    <xf numFmtId="14" fontId="9" fillId="0" borderId="0" xfId="4" applyNumberFormat="1" applyFont="1" applyProtection="1"/>
    <xf numFmtId="0" fontId="18" fillId="0" borderId="0" xfId="4" applyNumberFormat="1" applyFont="1" applyFill="1" applyBorder="1" applyAlignment="1" applyProtection="1">
      <alignment horizontal="center"/>
      <protection locked="0"/>
    </xf>
    <xf numFmtId="0" fontId="18" fillId="0" borderId="0" xfId="4" applyFont="1" applyFill="1" applyBorder="1" applyAlignment="1" applyProtection="1">
      <alignment horizontal="center"/>
      <protection locked="0"/>
    </xf>
    <xf numFmtId="0" fontId="18" fillId="0" borderId="0" xfId="4" applyFont="1" applyFill="1" applyBorder="1" applyProtection="1">
      <protection locked="0"/>
    </xf>
    <xf numFmtId="0" fontId="18" fillId="0" borderId="0" xfId="4" applyNumberFormat="1" applyFont="1" applyFill="1" applyBorder="1" applyAlignment="1" applyProtection="1">
      <alignment horizontal="right"/>
      <protection locked="0"/>
    </xf>
    <xf numFmtId="0" fontId="18" fillId="0" borderId="0" xfId="4" applyNumberFormat="1" applyFont="1" applyFill="1" applyBorder="1" applyAlignment="1" applyProtection="1">
      <alignment horizontal="left"/>
      <protection locked="0"/>
    </xf>
    <xf numFmtId="14" fontId="18" fillId="0" borderId="0" xfId="4" applyNumberFormat="1" applyFont="1" applyFill="1" applyBorder="1" applyProtection="1">
      <protection locked="0"/>
    </xf>
    <xf numFmtId="0" fontId="10" fillId="9" borderId="15" xfId="4" applyFont="1" applyFill="1" applyBorder="1" applyAlignment="1">
      <alignment horizontal="left" vertical="top"/>
    </xf>
    <xf numFmtId="0" fontId="10" fillId="0" borderId="0" xfId="4" applyFont="1" applyFill="1" applyAlignment="1">
      <alignment horizontal="left" vertical="top"/>
    </xf>
    <xf numFmtId="0" fontId="10" fillId="0" borderId="0" xfId="4" applyFont="1" applyFill="1" applyBorder="1" applyAlignment="1">
      <alignment vertical="top"/>
    </xf>
    <xf numFmtId="0" fontId="10" fillId="0" borderId="0" xfId="4" applyFont="1" applyFill="1" applyBorder="1" applyAlignment="1">
      <alignment horizontal="left" vertical="top"/>
    </xf>
    <xf numFmtId="0" fontId="10" fillId="0" borderId="0" xfId="4" applyFont="1" applyFill="1" applyAlignment="1">
      <alignment vertical="top"/>
    </xf>
    <xf numFmtId="0" fontId="10" fillId="0" borderId="0" xfId="4" quotePrefix="1" applyFont="1" applyFill="1" applyBorder="1" applyAlignment="1">
      <alignment horizontal="left" vertical="top"/>
    </xf>
    <xf numFmtId="14" fontId="10" fillId="0" borderId="0" xfId="4" applyNumberFormat="1" applyFont="1" applyFill="1" applyBorder="1" applyAlignment="1">
      <alignment horizontal="left" vertical="top"/>
    </xf>
    <xf numFmtId="0" fontId="10" fillId="0" borderId="15" xfId="4" applyFont="1" applyFill="1" applyBorder="1" applyAlignment="1">
      <alignment vertical="top"/>
    </xf>
    <xf numFmtId="0" fontId="10" fillId="0" borderId="15" xfId="4" applyFont="1" applyFill="1" applyBorder="1" applyAlignment="1">
      <alignment horizontal="left" vertical="top"/>
    </xf>
    <xf numFmtId="14" fontId="10" fillId="0" borderId="0" xfId="4" applyNumberFormat="1" applyFont="1" applyFill="1" applyAlignment="1">
      <alignment horizontal="left" vertical="top"/>
    </xf>
    <xf numFmtId="1" fontId="10" fillId="0" borderId="0" xfId="4" applyNumberFormat="1" applyFont="1" applyFill="1" applyAlignment="1">
      <alignment horizontal="left" vertical="top"/>
    </xf>
    <xf numFmtId="22" fontId="10" fillId="0" borderId="0" xfId="4" applyNumberFormat="1" applyFont="1" applyFill="1" applyAlignment="1">
      <alignment horizontal="left" vertical="top"/>
    </xf>
    <xf numFmtId="14" fontId="10" fillId="0" borderId="0" xfId="4" applyNumberFormat="1" applyFont="1" applyFill="1" applyAlignment="1">
      <alignment vertical="top"/>
    </xf>
    <xf numFmtId="0" fontId="17" fillId="0" borderId="0" xfId="0" applyFont="1" applyAlignment="1"/>
    <xf numFmtId="0" fontId="19" fillId="0" borderId="0" xfId="0" applyFont="1"/>
    <xf numFmtId="0" fontId="21" fillId="0" borderId="0" xfId="0" applyFont="1" applyProtection="1">
      <protection locked="0"/>
    </xf>
    <xf numFmtId="0" fontId="22" fillId="0" borderId="0" xfId="0" applyFont="1" applyProtection="1">
      <protection locked="0"/>
    </xf>
    <xf numFmtId="0" fontId="21" fillId="0" borderId="0" xfId="0" applyFont="1" applyAlignment="1" applyProtection="1">
      <alignment vertical="center"/>
      <protection locked="0"/>
    </xf>
    <xf numFmtId="0" fontId="19" fillId="0" borderId="0" xfId="0" applyFont="1" applyAlignment="1">
      <alignment vertical="center"/>
    </xf>
    <xf numFmtId="0" fontId="23" fillId="0" borderId="0" xfId="0" applyFont="1" applyAlignment="1">
      <alignment vertical="center"/>
    </xf>
    <xf numFmtId="0" fontId="24" fillId="12" borderId="17" xfId="2" applyFont="1" applyFill="1" applyBorder="1" applyAlignment="1" applyProtection="1">
      <alignment horizontal="center" vertical="center" wrapText="1"/>
      <protection locked="0"/>
    </xf>
    <xf numFmtId="0" fontId="26" fillId="12" borderId="17" xfId="2" applyFont="1" applyFill="1" applyBorder="1" applyAlignment="1" applyProtection="1">
      <alignment horizontal="center" vertical="center" wrapText="1"/>
      <protection locked="0"/>
    </xf>
    <xf numFmtId="0" fontId="27" fillId="0" borderId="18" xfId="2" applyFont="1" applyFill="1" applyBorder="1" applyAlignment="1" applyProtection="1">
      <alignment horizontal="center" vertical="center" wrapText="1"/>
      <protection locked="0"/>
    </xf>
    <xf numFmtId="0" fontId="24" fillId="13" borderId="17" xfId="2" applyFont="1" applyFill="1" applyBorder="1" applyAlignment="1" applyProtection="1">
      <alignment horizontal="center" vertical="center" wrapText="1"/>
      <protection locked="0"/>
    </xf>
    <xf numFmtId="0" fontId="24" fillId="14" borderId="17" xfId="2" applyFont="1" applyFill="1" applyBorder="1" applyAlignment="1" applyProtection="1">
      <alignment horizontal="center" vertical="center" wrapText="1"/>
      <protection locked="0"/>
    </xf>
    <xf numFmtId="14" fontId="0" fillId="0" borderId="0" xfId="0" applyNumberFormat="1"/>
    <xf numFmtId="0" fontId="19" fillId="0" borderId="0" xfId="0" applyFont="1" applyAlignment="1">
      <alignment horizontal="center"/>
    </xf>
    <xf numFmtId="0" fontId="21" fillId="0" borderId="0" xfId="0" applyFont="1" applyAlignment="1" applyProtection="1">
      <alignment horizontal="center"/>
      <protection locked="0"/>
    </xf>
    <xf numFmtId="0" fontId="25" fillId="0" borderId="0" xfId="0" applyFont="1" applyAlignment="1" applyProtection="1">
      <alignment horizontal="center"/>
      <protection locked="0"/>
    </xf>
    <xf numFmtId="0" fontId="19" fillId="0" borderId="0" xfId="0" applyFont="1" applyAlignment="1">
      <alignment horizontal="center" vertical="center"/>
    </xf>
    <xf numFmtId="0" fontId="22" fillId="0" borderId="0" xfId="0" applyFont="1" applyAlignment="1" applyProtection="1">
      <alignment horizontal="center"/>
      <protection locked="0"/>
    </xf>
    <xf numFmtId="0" fontId="29" fillId="4" borderId="1" xfId="4" applyFont="1" applyFill="1" applyBorder="1" applyAlignment="1">
      <alignment horizontal="center" vertical="center"/>
    </xf>
    <xf numFmtId="0" fontId="29" fillId="4" borderId="1" xfId="4" applyFont="1" applyFill="1" applyBorder="1" applyAlignment="1">
      <alignment horizontal="center" vertical="center" wrapText="1"/>
    </xf>
    <xf numFmtId="0" fontId="30" fillId="0" borderId="0" xfId="0" applyFont="1" applyAlignment="1">
      <alignment vertical="top"/>
    </xf>
    <xf numFmtId="0" fontId="30" fillId="0" borderId="0" xfId="0" applyFont="1" applyAlignment="1">
      <alignment horizontal="center" vertical="top"/>
    </xf>
    <xf numFmtId="0" fontId="31" fillId="0" borderId="0" xfId="0" applyFont="1" applyAlignment="1">
      <alignment vertical="top"/>
    </xf>
    <xf numFmtId="0" fontId="30" fillId="0" borderId="0" xfId="0" applyFont="1" applyAlignment="1">
      <alignment vertical="top" wrapText="1"/>
    </xf>
    <xf numFmtId="0" fontId="30" fillId="0" borderId="0" xfId="5" applyFont="1" applyFill="1" applyBorder="1" applyAlignment="1">
      <alignment horizontal="left" vertical="top" wrapText="1"/>
    </xf>
    <xf numFmtId="0" fontId="30" fillId="0" borderId="0" xfId="5" applyFont="1" applyFill="1" applyBorder="1" applyAlignment="1">
      <alignment horizontal="left" vertical="top"/>
    </xf>
    <xf numFmtId="0" fontId="31" fillId="0" borderId="0" xfId="5" applyFont="1" applyFill="1" applyBorder="1" applyAlignment="1">
      <alignment horizontal="left" vertical="top"/>
    </xf>
    <xf numFmtId="0" fontId="32" fillId="0" borderId="0" xfId="4" applyFont="1" applyAlignment="1">
      <alignment vertical="top"/>
    </xf>
    <xf numFmtId="0" fontId="30" fillId="0" borderId="0" xfId="5" applyNumberFormat="1" applyFont="1" applyFill="1" applyBorder="1" applyAlignment="1">
      <alignment horizontal="left" vertical="top" wrapText="1"/>
    </xf>
    <xf numFmtId="14" fontId="30" fillId="0" borderId="0" xfId="5" applyNumberFormat="1" applyFont="1" applyFill="1" applyBorder="1" applyAlignment="1">
      <alignment horizontal="left" vertical="top" wrapText="1"/>
    </xf>
    <xf numFmtId="0" fontId="32" fillId="0" borderId="0" xfId="5" applyFont="1" applyFill="1" applyBorder="1" applyAlignment="1">
      <alignment horizontal="left" vertical="top"/>
    </xf>
    <xf numFmtId="0" fontId="31" fillId="0" borderId="0" xfId="5" applyFont="1" applyFill="1" applyBorder="1" applyAlignment="1">
      <alignment horizontal="left" vertical="top" wrapText="1"/>
    </xf>
    <xf numFmtId="0" fontId="30" fillId="0" borderId="0" xfId="0" applyFont="1" applyAlignment="1"/>
    <xf numFmtId="0" fontId="19" fillId="11" borderId="0" xfId="0" applyFont="1" applyFill="1" applyBorder="1" applyAlignment="1">
      <alignment vertical="center"/>
    </xf>
    <xf numFmtId="0" fontId="18" fillId="0" borderId="0" xfId="4" quotePrefix="1" applyNumberFormat="1" applyFont="1" applyFill="1" applyBorder="1" applyAlignment="1" applyProtection="1">
      <alignment horizontal="right"/>
      <protection locked="0"/>
    </xf>
    <xf numFmtId="0" fontId="9" fillId="7" borderId="2" xfId="4" applyFont="1" applyFill="1" applyBorder="1" applyAlignment="1">
      <alignment horizontal="left" wrapText="1"/>
    </xf>
    <xf numFmtId="0" fontId="18" fillId="0" borderId="0" xfId="4" applyNumberFormat="1" applyFont="1" applyFill="1" applyBorder="1" applyProtection="1">
      <protection locked="0"/>
    </xf>
    <xf numFmtId="0" fontId="9" fillId="0" borderId="0" xfId="4" applyNumberFormat="1" applyFont="1" applyBorder="1"/>
    <xf numFmtId="14" fontId="18" fillId="0" borderId="0" xfId="4" applyNumberFormat="1" applyFont="1" applyFill="1" applyBorder="1" applyAlignment="1" applyProtection="1">
      <alignment horizontal="right"/>
      <protection locked="0"/>
    </xf>
    <xf numFmtId="14" fontId="18" fillId="0" borderId="0" xfId="4" applyNumberFormat="1" applyFont="1" applyFill="1" applyBorder="1" applyAlignment="1" applyProtection="1">
      <alignment horizontal="left"/>
      <protection locked="0"/>
    </xf>
    <xf numFmtId="10" fontId="18" fillId="0" borderId="0" xfId="4" applyNumberFormat="1" applyFont="1" applyFill="1" applyBorder="1" applyAlignment="1" applyProtection="1">
      <alignment horizontal="center"/>
      <protection locked="0"/>
    </xf>
    <xf numFmtId="10" fontId="18" fillId="0" borderId="0" xfId="4" applyNumberFormat="1" applyFont="1" applyFill="1" applyBorder="1" applyProtection="1">
      <protection locked="0"/>
    </xf>
    <xf numFmtId="0" fontId="26" fillId="10" borderId="17" xfId="2" applyFont="1" applyFill="1" applyBorder="1" applyAlignment="1" applyProtection="1">
      <alignment horizontal="center" vertical="center" wrapText="1"/>
      <protection locked="0"/>
    </xf>
    <xf numFmtId="0" fontId="24" fillId="15" borderId="17" xfId="2" applyFont="1" applyFill="1" applyBorder="1" applyAlignment="1" applyProtection="1">
      <alignment horizontal="center" vertical="center" wrapText="1"/>
      <protection locked="0"/>
    </xf>
    <xf numFmtId="0" fontId="24" fillId="16" borderId="17" xfId="2" applyFont="1" applyFill="1" applyBorder="1" applyAlignment="1" applyProtection="1">
      <alignment horizontal="center" vertical="center" wrapText="1"/>
      <protection locked="0"/>
    </xf>
    <xf numFmtId="0" fontId="33" fillId="0" borderId="18" xfId="2" applyFont="1" applyFill="1" applyBorder="1" applyAlignment="1" applyProtection="1">
      <alignment horizontal="center" vertical="center" wrapText="1"/>
      <protection locked="0"/>
    </xf>
    <xf numFmtId="0" fontId="25" fillId="17" borderId="0" xfId="0" applyFont="1" applyFill="1" applyAlignment="1" applyProtection="1">
      <alignment horizontal="left"/>
      <protection locked="0"/>
    </xf>
    <xf numFmtId="0" fontId="21" fillId="17" borderId="0" xfId="0" applyFont="1" applyFill="1" applyProtection="1">
      <protection locked="0"/>
    </xf>
    <xf numFmtId="0" fontId="22" fillId="17" borderId="0" xfId="0" applyFont="1" applyFill="1" applyProtection="1">
      <protection locked="0"/>
    </xf>
    <xf numFmtId="0" fontId="21" fillId="17" borderId="0" xfId="0" applyFont="1" applyFill="1" applyAlignment="1" applyProtection="1">
      <alignment vertical="center"/>
      <protection locked="0"/>
    </xf>
    <xf numFmtId="0" fontId="37" fillId="0" borderId="0" xfId="0" applyFont="1" applyAlignment="1" applyProtection="1">
      <alignment horizontal="center"/>
      <protection locked="0"/>
    </xf>
    <xf numFmtId="14" fontId="9" fillId="0" borderId="10" xfId="4" applyNumberFormat="1" applyFont="1" applyBorder="1"/>
    <xf numFmtId="0" fontId="9" fillId="0" borderId="10" xfId="4" applyFont="1" applyBorder="1"/>
    <xf numFmtId="0" fontId="9" fillId="0" borderId="10" xfId="4" applyNumberFormat="1" applyFont="1" applyBorder="1"/>
    <xf numFmtId="14" fontId="9" fillId="0" borderId="23" xfId="4" applyNumberFormat="1" applyFont="1" applyBorder="1"/>
    <xf numFmtId="0" fontId="9" fillId="0" borderId="23" xfId="4" applyFont="1" applyBorder="1"/>
    <xf numFmtId="0" fontId="9" fillId="0" borderId="23" xfId="4" applyNumberFormat="1" applyFont="1" applyBorder="1"/>
    <xf numFmtId="14" fontId="23" fillId="8" borderId="14" xfId="0" applyNumberFormat="1" applyFont="1" applyFill="1" applyBorder="1" applyProtection="1">
      <protection locked="0"/>
    </xf>
    <xf numFmtId="14" fontId="23" fillId="0" borderId="14" xfId="0" applyNumberFormat="1" applyFont="1" applyBorder="1" applyProtection="1">
      <protection locked="0"/>
    </xf>
    <xf numFmtId="14" fontId="23" fillId="0" borderId="0" xfId="4" applyNumberFormat="1" applyFont="1" applyProtection="1"/>
    <xf numFmtId="14" fontId="23" fillId="8" borderId="14" xfId="4" applyNumberFormat="1" applyFont="1" applyFill="1" applyBorder="1" applyProtection="1">
      <protection locked="0"/>
    </xf>
    <xf numFmtId="14" fontId="23" fillId="0" borderId="14" xfId="4" applyNumberFormat="1" applyFont="1" applyBorder="1" applyProtection="1">
      <protection locked="0"/>
    </xf>
    <xf numFmtId="0" fontId="41" fillId="0" borderId="0" xfId="4" applyFont="1"/>
    <xf numFmtId="14" fontId="23" fillId="0" borderId="14" xfId="0" applyNumberFormat="1" applyFont="1" applyFill="1" applyBorder="1" applyProtection="1">
      <protection locked="0"/>
    </xf>
    <xf numFmtId="14" fontId="23" fillId="0" borderId="14" xfId="4" applyNumberFormat="1" applyFont="1" applyBorder="1" applyProtection="1"/>
    <xf numFmtId="0" fontId="9" fillId="0" borderId="0" xfId="4" applyFont="1" applyBorder="1"/>
    <xf numFmtId="0" fontId="9" fillId="7" borderId="2" xfId="4" applyNumberFormat="1" applyFont="1" applyFill="1" applyBorder="1" applyAlignment="1">
      <alignment horizontal="left" wrapText="1"/>
    </xf>
    <xf numFmtId="0" fontId="9" fillId="7" borderId="3" xfId="4" applyNumberFormat="1" applyFont="1" applyFill="1" applyBorder="1" applyAlignment="1">
      <alignment horizontal="left" wrapText="1"/>
    </xf>
    <xf numFmtId="10" fontId="9" fillId="0" borderId="10" xfId="6" applyNumberFormat="1" applyFont="1" applyBorder="1" applyAlignment="1"/>
    <xf numFmtId="10" fontId="9" fillId="0" borderId="23" xfId="6" applyNumberFormat="1" applyFont="1" applyBorder="1" applyAlignment="1"/>
    <xf numFmtId="0" fontId="23" fillId="0" borderId="18" xfId="0" applyFont="1" applyFill="1" applyBorder="1" applyAlignment="1" applyProtection="1">
      <alignment horizontal="left" vertical="top" wrapText="1"/>
      <protection locked="0"/>
    </xf>
    <xf numFmtId="0" fontId="23" fillId="0" borderId="18" xfId="0" applyFont="1" applyFill="1" applyBorder="1" applyAlignment="1" applyProtection="1">
      <alignment horizontal="left" vertical="center" wrapText="1"/>
      <protection locked="0"/>
    </xf>
    <xf numFmtId="0" fontId="35" fillId="17" borderId="0" xfId="0" applyFont="1" applyFill="1" applyAlignment="1">
      <alignment horizontal="left" vertical="top" wrapText="1"/>
    </xf>
    <xf numFmtId="0" fontId="28" fillId="11" borderId="0" xfId="2" applyFont="1" applyFill="1" applyBorder="1" applyAlignment="1" applyProtection="1">
      <alignment horizontal="right"/>
    </xf>
    <xf numFmtId="0" fontId="34" fillId="11" borderId="22" xfId="2" applyFont="1" applyFill="1" applyBorder="1" applyAlignment="1" applyProtection="1">
      <alignment horizontal="right" vertical="center"/>
    </xf>
    <xf numFmtId="0" fontId="19" fillId="0" borderId="0" xfId="0" applyFont="1" applyFill="1" applyAlignment="1">
      <alignment horizontal="left" vertical="top" wrapText="1"/>
    </xf>
    <xf numFmtId="0" fontId="23" fillId="0" borderId="15" xfId="0" applyFont="1" applyFill="1" applyBorder="1" applyAlignment="1" applyProtection="1">
      <alignment horizontal="left" vertical="center" wrapText="1"/>
      <protection locked="0"/>
    </xf>
    <xf numFmtId="0" fontId="36" fillId="11" borderId="0" xfId="0" applyFont="1" applyFill="1" applyBorder="1" applyAlignment="1" applyProtection="1">
      <alignment horizontal="left" vertical="center"/>
    </xf>
    <xf numFmtId="0" fontId="36" fillId="11" borderId="22" xfId="0" applyFont="1" applyFill="1" applyBorder="1" applyAlignment="1" applyProtection="1">
      <alignment horizontal="left" vertical="center"/>
    </xf>
    <xf numFmtId="0" fontId="10" fillId="0" borderId="0" xfId="4" applyFont="1" applyFill="1" applyBorder="1" applyAlignment="1" applyProtection="1">
      <alignment horizontal="left" vertical="center" wrapText="1"/>
      <protection locked="0"/>
    </xf>
    <xf numFmtId="0" fontId="10" fillId="0" borderId="0" xfId="4" applyFont="1" applyFill="1" applyBorder="1" applyAlignment="1" applyProtection="1">
      <alignment horizontal="left" vertical="center"/>
      <protection locked="0"/>
    </xf>
    <xf numFmtId="0" fontId="7" fillId="0" borderId="0" xfId="1" applyFont="1" applyFill="1" applyBorder="1" applyAlignment="1">
      <alignment horizontal="left" vertical="center"/>
    </xf>
    <xf numFmtId="0" fontId="6" fillId="0" borderId="0" xfId="1" applyFont="1" applyFill="1" applyBorder="1" applyAlignment="1">
      <alignment horizontal="left" vertical="center"/>
    </xf>
    <xf numFmtId="14" fontId="11" fillId="3" borderId="0" xfId="4" applyNumberFormat="1" applyFont="1" applyFill="1" applyBorder="1" applyAlignment="1" applyProtection="1">
      <alignment horizontal="right" vertical="center"/>
    </xf>
    <xf numFmtId="0" fontId="42" fillId="0" borderId="0" xfId="4" applyFont="1" applyFill="1" applyBorder="1" applyAlignment="1" applyProtection="1">
      <alignment horizontal="left" vertical="center" wrapText="1"/>
      <protection locked="0"/>
    </xf>
    <xf numFmtId="14" fontId="9" fillId="3" borderId="0" xfId="4" applyNumberFormat="1" applyFont="1" applyFill="1" applyBorder="1" applyAlignment="1" applyProtection="1">
      <alignment horizontal="left" vertical="top" wrapText="1"/>
    </xf>
    <xf numFmtId="14" fontId="14" fillId="8" borderId="14" xfId="4" applyNumberFormat="1" applyFont="1" applyFill="1" applyBorder="1" applyAlignment="1" applyProtection="1">
      <alignment horizontal="center" vertical="center"/>
      <protection locked="0"/>
    </xf>
    <xf numFmtId="0" fontId="44" fillId="11" borderId="0" xfId="1" applyFont="1" applyFill="1" applyBorder="1" applyAlignment="1">
      <alignment horizontal="left" vertical="top"/>
    </xf>
    <xf numFmtId="0" fontId="44" fillId="11" borderId="0" xfId="1" applyFont="1" applyFill="1" applyBorder="1" applyAlignment="1">
      <alignment horizontal="left" vertical="center"/>
    </xf>
    <xf numFmtId="0" fontId="44" fillId="11" borderId="0" xfId="1" applyFont="1" applyFill="1" applyBorder="1" applyAlignment="1">
      <alignment vertical="center"/>
    </xf>
    <xf numFmtId="14" fontId="44" fillId="11" borderId="0" xfId="1" applyNumberFormat="1" applyFont="1" applyFill="1" applyBorder="1" applyAlignment="1">
      <alignment vertical="top"/>
    </xf>
    <xf numFmtId="14" fontId="45" fillId="11" borderId="0" xfId="1" applyNumberFormat="1" applyFont="1" applyFill="1" applyBorder="1" applyAlignment="1">
      <alignment horizontal="left" vertical="top" wrapText="1"/>
    </xf>
    <xf numFmtId="0" fontId="44" fillId="11" borderId="0" xfId="1" applyFont="1" applyFill="1" applyBorder="1" applyAlignment="1">
      <alignment horizontal="center" vertical="top"/>
    </xf>
    <xf numFmtId="0" fontId="44" fillId="11" borderId="0" xfId="1" applyNumberFormat="1" applyFont="1" applyFill="1" applyBorder="1" applyAlignment="1">
      <alignment horizontal="center" vertical="top"/>
    </xf>
    <xf numFmtId="14" fontId="44" fillId="11" borderId="0" xfId="1" applyNumberFormat="1" applyFont="1" applyFill="1" applyBorder="1" applyAlignment="1">
      <alignment horizontal="center" vertical="top"/>
    </xf>
    <xf numFmtId="1" fontId="44" fillId="11" borderId="0" xfId="1" applyNumberFormat="1" applyFont="1" applyFill="1" applyBorder="1" applyAlignment="1">
      <alignment horizontal="center" vertical="top"/>
    </xf>
    <xf numFmtId="0" fontId="44" fillId="11" borderId="0" xfId="2" applyFont="1" applyFill="1" applyBorder="1" applyAlignment="1">
      <alignment vertical="top" wrapText="1"/>
    </xf>
    <xf numFmtId="0" fontId="44" fillId="11" borderId="0" xfId="2" applyNumberFormat="1" applyFont="1" applyFill="1" applyBorder="1" applyAlignment="1">
      <alignment vertical="top"/>
    </xf>
    <xf numFmtId="0" fontId="44" fillId="11" borderId="0" xfId="2" applyFont="1" applyFill="1" applyBorder="1" applyAlignment="1">
      <alignment vertical="top"/>
    </xf>
    <xf numFmtId="0" fontId="44" fillId="11" borderId="0" xfId="2" applyFont="1" applyFill="1" applyBorder="1" applyAlignment="1">
      <alignment horizontal="right" vertical="top"/>
    </xf>
    <xf numFmtId="0" fontId="44" fillId="11" borderId="0" xfId="2" applyFont="1" applyFill="1" applyBorder="1" applyAlignment="1">
      <alignment horizontal="right" vertical="center"/>
    </xf>
    <xf numFmtId="0" fontId="47" fillId="11" borderId="0" xfId="1" applyFont="1" applyFill="1" applyBorder="1" applyAlignment="1">
      <alignment horizontal="left" vertical="center"/>
    </xf>
    <xf numFmtId="0" fontId="48" fillId="11" borderId="0" xfId="1" applyFont="1" applyFill="1" applyBorder="1" applyAlignment="1">
      <alignment horizontal="left" vertical="top"/>
    </xf>
    <xf numFmtId="0" fontId="49" fillId="11" borderId="0" xfId="3" applyNumberFormat="1" applyFont="1" applyFill="1" applyBorder="1" applyAlignment="1">
      <alignment horizontal="center" vertical="center" wrapText="1"/>
    </xf>
    <xf numFmtId="0" fontId="49" fillId="11" borderId="0" xfId="2" applyNumberFormat="1" applyFont="1" applyFill="1" applyBorder="1" applyAlignment="1">
      <alignment horizontal="right" vertical="center"/>
    </xf>
    <xf numFmtId="10" fontId="49" fillId="11" borderId="0" xfId="3" applyNumberFormat="1" applyFont="1" applyFill="1" applyBorder="1" applyAlignment="1">
      <alignment horizontal="right" vertical="center"/>
    </xf>
    <xf numFmtId="0" fontId="48" fillId="11" borderId="0" xfId="2" applyNumberFormat="1" applyFont="1" applyFill="1" applyBorder="1" applyAlignment="1">
      <alignment vertical="top"/>
    </xf>
    <xf numFmtId="0" fontId="48" fillId="11" borderId="0" xfId="2" applyNumberFormat="1" applyFont="1" applyFill="1" applyBorder="1" applyAlignment="1">
      <alignment horizontal="right" vertical="top"/>
    </xf>
    <xf numFmtId="0" fontId="50" fillId="10" borderId="1" xfId="4" applyFont="1" applyFill="1" applyBorder="1" applyAlignment="1" applyProtection="1">
      <alignment horizontal="center" vertical="center" wrapText="1"/>
    </xf>
    <xf numFmtId="0" fontId="50" fillId="10" borderId="2" xfId="4" applyFont="1" applyFill="1" applyBorder="1" applyAlignment="1" applyProtection="1">
      <alignment horizontal="center" vertical="center"/>
    </xf>
    <xf numFmtId="0" fontId="50" fillId="10" borderId="2" xfId="4" applyFont="1" applyFill="1" applyBorder="1" applyAlignment="1" applyProtection="1">
      <alignment horizontal="center" vertical="center" wrapText="1"/>
    </xf>
    <xf numFmtId="0" fontId="50" fillId="5" borderId="2" xfId="4" applyFont="1" applyFill="1" applyBorder="1" applyAlignment="1" applyProtection="1">
      <alignment horizontal="center" vertical="center"/>
    </xf>
    <xf numFmtId="0" fontId="50" fillId="10" borderId="3" xfId="4" applyFont="1" applyFill="1" applyBorder="1" applyAlignment="1" applyProtection="1">
      <alignment horizontal="center" vertical="center"/>
    </xf>
    <xf numFmtId="0" fontId="50" fillId="10" borderId="0" xfId="4" applyFont="1" applyFill="1" applyBorder="1" applyAlignment="1" applyProtection="1">
      <alignment horizontal="center" vertical="center"/>
    </xf>
    <xf numFmtId="14" fontId="50" fillId="10" borderId="2" xfId="4" applyNumberFormat="1" applyFont="1" applyFill="1" applyBorder="1" applyAlignment="1" applyProtection="1">
      <alignment horizontal="center" vertical="center"/>
    </xf>
    <xf numFmtId="0" fontId="50" fillId="10" borderId="2" xfId="4" applyNumberFormat="1" applyFont="1" applyFill="1" applyBorder="1" applyAlignment="1" applyProtection="1">
      <alignment horizontal="center" vertical="center"/>
    </xf>
    <xf numFmtId="176" fontId="50" fillId="5" borderId="2" xfId="4" applyNumberFormat="1" applyFont="1" applyFill="1" applyBorder="1" applyAlignment="1" applyProtection="1">
      <alignment horizontal="center" vertical="center" wrapText="1"/>
    </xf>
    <xf numFmtId="176" fontId="50" fillId="5" borderId="2" xfId="4" applyNumberFormat="1" applyFont="1" applyFill="1" applyBorder="1" applyAlignment="1" applyProtection="1">
      <alignment horizontal="center" vertical="top" wrapText="1"/>
    </xf>
    <xf numFmtId="0" fontId="50" fillId="5" borderId="2" xfId="4" applyNumberFormat="1" applyFont="1" applyFill="1" applyBorder="1" applyAlignment="1" applyProtection="1">
      <alignment horizontal="center" vertical="center" wrapText="1"/>
    </xf>
    <xf numFmtId="14" fontId="50" fillId="10" borderId="2" xfId="4" applyNumberFormat="1" applyFont="1" applyFill="1" applyBorder="1" applyAlignment="1" applyProtection="1">
      <alignment horizontal="center" vertical="center" wrapText="1"/>
    </xf>
    <xf numFmtId="177" fontId="50" fillId="5" borderId="2" xfId="4" applyNumberFormat="1" applyFont="1" applyFill="1" applyBorder="1" applyAlignment="1" applyProtection="1">
      <alignment horizontal="center" vertical="center" wrapText="1"/>
    </xf>
    <xf numFmtId="1" fontId="50" fillId="5" borderId="2" xfId="4" applyNumberFormat="1" applyFont="1" applyFill="1" applyBorder="1" applyAlignment="1" applyProtection="1">
      <alignment horizontal="center" vertical="center" wrapText="1"/>
    </xf>
    <xf numFmtId="176" fontId="50" fillId="10" borderId="2" xfId="4" applyNumberFormat="1" applyFont="1" applyFill="1" applyBorder="1" applyAlignment="1" applyProtection="1">
      <alignment horizontal="center" vertical="center"/>
    </xf>
    <xf numFmtId="10" fontId="50" fillId="5" borderId="2" xfId="3" applyNumberFormat="1" applyFont="1" applyFill="1" applyBorder="1" applyAlignment="1" applyProtection="1">
      <alignment horizontal="center" vertical="center" wrapText="1"/>
    </xf>
    <xf numFmtId="10" fontId="50" fillId="10" borderId="3" xfId="3" applyNumberFormat="1" applyFont="1" applyFill="1" applyBorder="1" applyAlignment="1" applyProtection="1">
      <alignment horizontal="center" vertical="center" wrapText="1"/>
    </xf>
    <xf numFmtId="0" fontId="51" fillId="0" borderId="0" xfId="1" applyFont="1" applyFill="1" applyBorder="1" applyAlignment="1">
      <alignment horizontal="left" vertical="center"/>
    </xf>
    <xf numFmtId="0" fontId="50" fillId="10" borderId="0" xfId="4" applyFont="1" applyFill="1" applyBorder="1" applyAlignment="1" applyProtection="1">
      <alignment horizontal="center" vertical="center" wrapText="1"/>
    </xf>
    <xf numFmtId="0" fontId="50" fillId="10" borderId="16" xfId="4" applyFont="1" applyFill="1" applyBorder="1" applyAlignment="1" applyProtection="1">
      <alignment horizontal="center" vertical="center"/>
    </xf>
    <xf numFmtId="0" fontId="52" fillId="0" borderId="0" xfId="4" applyFont="1" applyFill="1" applyBorder="1" applyAlignment="1" applyProtection="1">
      <alignment horizontal="left" vertical="center"/>
    </xf>
    <xf numFmtId="0" fontId="51" fillId="0" borderId="0" xfId="4" applyFont="1" applyFill="1" applyBorder="1" applyAlignment="1" applyProtection="1">
      <alignment horizontal="left" vertical="center"/>
    </xf>
    <xf numFmtId="0" fontId="53" fillId="0" borderId="28" xfId="4" applyFont="1" applyFill="1" applyBorder="1" applyAlignment="1" applyProtection="1">
      <alignment vertical="top"/>
      <protection locked="0"/>
    </xf>
    <xf numFmtId="0" fontId="53" fillId="0" borderId="28" xfId="4" quotePrefix="1" applyFont="1" applyFill="1" applyBorder="1" applyAlignment="1" applyProtection="1">
      <alignment horizontal="right" vertical="top"/>
      <protection locked="0"/>
    </xf>
    <xf numFmtId="0" fontId="53" fillId="0" borderId="28" xfId="4" applyFont="1" applyFill="1" applyBorder="1" applyAlignment="1" applyProtection="1">
      <alignment horizontal="left" vertical="top"/>
      <protection locked="0"/>
    </xf>
    <xf numFmtId="14" fontId="53" fillId="0" borderId="28" xfId="4" applyNumberFormat="1" applyFont="1" applyFill="1" applyBorder="1" applyAlignment="1" applyProtection="1">
      <alignment horizontal="center" vertical="top"/>
      <protection locked="0"/>
    </xf>
    <xf numFmtId="0" fontId="53" fillId="0" borderId="28" xfId="4" applyNumberFormat="1" applyFont="1" applyFill="1" applyBorder="1" applyAlignment="1" applyProtection="1">
      <alignment horizontal="left" vertical="top"/>
      <protection locked="0"/>
    </xf>
    <xf numFmtId="176" fontId="53" fillId="0" borderId="28" xfId="4" applyNumberFormat="1" applyFont="1" applyFill="1" applyBorder="1" applyAlignment="1" applyProtection="1">
      <alignment horizontal="center" vertical="top"/>
      <protection locked="0"/>
    </xf>
    <xf numFmtId="0" fontId="53" fillId="0" borderId="28" xfId="4" applyNumberFormat="1" applyFont="1" applyFill="1" applyBorder="1" applyAlignment="1" applyProtection="1">
      <alignment horizontal="center" vertical="top"/>
      <protection locked="0"/>
    </xf>
    <xf numFmtId="177" fontId="53" fillId="0" borderId="28" xfId="4" applyNumberFormat="1" applyFont="1" applyFill="1" applyBorder="1" applyAlignment="1" applyProtection="1">
      <alignment horizontal="center" vertical="top"/>
      <protection locked="0"/>
    </xf>
    <xf numFmtId="1" fontId="53" fillId="0" borderId="28" xfId="4" applyNumberFormat="1" applyFont="1" applyFill="1" applyBorder="1" applyAlignment="1" applyProtection="1">
      <alignment horizontal="center" vertical="top"/>
      <protection locked="0"/>
    </xf>
    <xf numFmtId="178" fontId="53" fillId="0" borderId="28" xfId="4" applyNumberFormat="1" applyFont="1" applyFill="1" applyBorder="1" applyAlignment="1" applyProtection="1">
      <alignment horizontal="center" vertical="top"/>
      <protection locked="0"/>
    </xf>
    <xf numFmtId="14" fontId="53" fillId="0" borderId="28" xfId="4" applyNumberFormat="1" applyFont="1" applyFill="1" applyBorder="1" applyAlignment="1" applyProtection="1">
      <alignment horizontal="left" vertical="top"/>
      <protection locked="0"/>
    </xf>
    <xf numFmtId="10" fontId="53" fillId="0" borderId="28" xfId="6" applyNumberFormat="1" applyFont="1" applyFill="1" applyBorder="1" applyAlignment="1" applyProtection="1">
      <alignment horizontal="right" vertical="top" wrapText="1"/>
      <protection locked="0"/>
    </xf>
    <xf numFmtId="10" fontId="53" fillId="0" borderId="28" xfId="6" applyNumberFormat="1" applyFont="1" applyFill="1" applyBorder="1" applyAlignment="1" applyProtection="1">
      <alignment horizontal="right" vertical="top"/>
      <protection locked="0"/>
    </xf>
    <xf numFmtId="0" fontId="54" fillId="0" borderId="26" xfId="4" applyFont="1" applyFill="1" applyBorder="1" applyAlignment="1" applyProtection="1">
      <alignment horizontal="left" vertical="center"/>
      <protection locked="0"/>
    </xf>
    <xf numFmtId="0" fontId="54" fillId="0" borderId="4" xfId="4" applyFont="1" applyFill="1" applyBorder="1" applyAlignment="1" applyProtection="1">
      <alignment horizontal="left" vertical="center"/>
      <protection locked="0"/>
    </xf>
    <xf numFmtId="0" fontId="55" fillId="0" borderId="28" xfId="4" quotePrefix="1" applyFont="1" applyFill="1" applyBorder="1" applyAlignment="1" applyProtection="1">
      <alignment horizontal="right" vertical="top"/>
      <protection locked="0"/>
    </xf>
    <xf numFmtId="0" fontId="55" fillId="0" borderId="28" xfId="4" applyFont="1" applyFill="1" applyBorder="1" applyAlignment="1" applyProtection="1">
      <alignment horizontal="left" vertical="top"/>
      <protection locked="0"/>
    </xf>
    <xf numFmtId="14" fontId="55" fillId="0" borderId="28" xfId="4" applyNumberFormat="1" applyFont="1" applyFill="1" applyBorder="1" applyAlignment="1" applyProtection="1">
      <alignment horizontal="center" vertical="top"/>
      <protection locked="0"/>
    </xf>
    <xf numFmtId="0" fontId="53" fillId="8" borderId="28" xfId="4" applyFont="1" applyFill="1" applyBorder="1" applyAlignment="1" applyProtection="1">
      <alignment horizontal="left" vertical="center"/>
      <protection locked="0"/>
    </xf>
    <xf numFmtId="0" fontId="56" fillId="0" borderId="28" xfId="4" applyFont="1" applyFill="1" applyBorder="1" applyAlignment="1" applyProtection="1">
      <alignment horizontal="left" vertical="top"/>
      <protection locked="0"/>
    </xf>
    <xf numFmtId="0" fontId="53" fillId="0" borderId="28" xfId="4" applyFont="1" applyFill="1" applyBorder="1" applyAlignment="1" applyProtection="1">
      <alignment horizontal="left" vertical="center"/>
      <protection locked="0"/>
    </xf>
    <xf numFmtId="0" fontId="53" fillId="3" borderId="28" xfId="4" applyFont="1" applyFill="1" applyBorder="1" applyAlignment="1" applyProtection="1">
      <alignment vertical="top"/>
      <protection locked="0"/>
    </xf>
    <xf numFmtId="0" fontId="53" fillId="3" borderId="28" xfId="4" quotePrefix="1" applyFont="1" applyFill="1" applyBorder="1" applyAlignment="1" applyProtection="1">
      <alignment horizontal="right" vertical="top"/>
      <protection locked="0"/>
    </xf>
    <xf numFmtId="0" fontId="53" fillId="3" borderId="28" xfId="4" applyFont="1" applyFill="1" applyBorder="1" applyAlignment="1" applyProtection="1">
      <alignment horizontal="left" vertical="top"/>
      <protection locked="0"/>
    </xf>
    <xf numFmtId="0" fontId="46" fillId="3" borderId="28" xfId="4" applyFont="1" applyFill="1" applyBorder="1" applyAlignment="1" applyProtection="1">
      <alignment horizontal="left" vertical="top"/>
      <protection locked="0"/>
    </xf>
    <xf numFmtId="14" fontId="53" fillId="3" borderId="28" xfId="4" applyNumberFormat="1" applyFont="1" applyFill="1" applyBorder="1" applyAlignment="1" applyProtection="1">
      <alignment horizontal="center" vertical="top"/>
      <protection locked="0"/>
    </xf>
    <xf numFmtId="0" fontId="53" fillId="3" borderId="28" xfId="4" applyNumberFormat="1" applyFont="1" applyFill="1" applyBorder="1" applyAlignment="1" applyProtection="1">
      <alignment horizontal="left" vertical="top"/>
      <protection locked="0"/>
    </xf>
    <xf numFmtId="176" fontId="53" fillId="3" borderId="28" xfId="4" applyNumberFormat="1" applyFont="1" applyFill="1" applyBorder="1" applyAlignment="1" applyProtection="1">
      <alignment horizontal="center" vertical="top"/>
      <protection locked="0"/>
    </xf>
    <xf numFmtId="0" fontId="53" fillId="3" borderId="28" xfId="4" applyNumberFormat="1" applyFont="1" applyFill="1" applyBorder="1" applyAlignment="1" applyProtection="1">
      <alignment horizontal="center" vertical="top"/>
      <protection locked="0"/>
    </xf>
    <xf numFmtId="177" fontId="53" fillId="3" borderId="28" xfId="4" applyNumberFormat="1" applyFont="1" applyFill="1" applyBorder="1" applyAlignment="1" applyProtection="1">
      <alignment horizontal="center" vertical="top"/>
      <protection locked="0"/>
    </xf>
    <xf numFmtId="1" fontId="53" fillId="3" borderId="28" xfId="4" applyNumberFormat="1" applyFont="1" applyFill="1" applyBorder="1" applyAlignment="1" applyProtection="1">
      <alignment horizontal="center" vertical="top"/>
      <protection locked="0"/>
    </xf>
    <xf numFmtId="178" fontId="53" fillId="3" borderId="28" xfId="4" applyNumberFormat="1" applyFont="1" applyFill="1" applyBorder="1" applyAlignment="1" applyProtection="1">
      <alignment horizontal="center" vertical="top"/>
      <protection locked="0"/>
    </xf>
    <xf numFmtId="14" fontId="53" fillId="3" borderId="28" xfId="4" applyNumberFormat="1" applyFont="1" applyFill="1" applyBorder="1" applyAlignment="1" applyProtection="1">
      <alignment horizontal="left" vertical="top"/>
      <protection locked="0"/>
    </xf>
    <xf numFmtId="10" fontId="53" fillId="3" borderId="28" xfId="6" applyNumberFormat="1" applyFont="1" applyFill="1" applyBorder="1" applyAlignment="1" applyProtection="1">
      <alignment horizontal="right" vertical="top" wrapText="1"/>
      <protection locked="0"/>
    </xf>
    <xf numFmtId="14" fontId="46" fillId="3" borderId="28" xfId="4" applyNumberFormat="1" applyFont="1" applyFill="1" applyBorder="1" applyAlignment="1" applyProtection="1">
      <alignment horizontal="center" vertical="top"/>
      <protection locked="0"/>
    </xf>
    <xf numFmtId="10" fontId="53" fillId="3" borderId="28" xfId="6" applyNumberFormat="1" applyFont="1" applyFill="1" applyBorder="1" applyAlignment="1" applyProtection="1">
      <alignment horizontal="right" vertical="top"/>
      <protection locked="0"/>
    </xf>
    <xf numFmtId="0" fontId="53" fillId="8" borderId="28" xfId="4" quotePrefix="1" applyFont="1" applyFill="1" applyBorder="1" applyAlignment="1" applyProtection="1">
      <alignment horizontal="right" vertical="top"/>
      <protection locked="0"/>
    </xf>
    <xf numFmtId="0" fontId="53" fillId="8" borderId="28" xfId="4" applyFont="1" applyFill="1" applyBorder="1" applyAlignment="1" applyProtection="1">
      <alignment horizontal="left" vertical="top"/>
      <protection locked="0"/>
    </xf>
    <xf numFmtId="0" fontId="53" fillId="8" borderId="28" xfId="4" applyNumberFormat="1" applyFont="1" applyFill="1" applyBorder="1" applyAlignment="1" applyProtection="1">
      <alignment horizontal="left" vertical="top"/>
      <protection locked="0"/>
    </xf>
    <xf numFmtId="176" fontId="53" fillId="8" borderId="28" xfId="4" applyNumberFormat="1" applyFont="1" applyFill="1" applyBorder="1" applyAlignment="1" applyProtection="1">
      <alignment horizontal="center" vertical="top"/>
      <protection locked="0"/>
    </xf>
    <xf numFmtId="0" fontId="53" fillId="8" borderId="28" xfId="4" applyNumberFormat="1" applyFont="1" applyFill="1" applyBorder="1" applyAlignment="1" applyProtection="1">
      <alignment horizontal="center" vertical="top"/>
      <protection locked="0"/>
    </xf>
    <xf numFmtId="14" fontId="53" fillId="8" borderId="28" xfId="4" applyNumberFormat="1" applyFont="1" applyFill="1" applyBorder="1" applyAlignment="1" applyProtection="1">
      <alignment horizontal="center" vertical="top"/>
      <protection locked="0"/>
    </xf>
    <xf numFmtId="177" fontId="53" fillId="8" borderId="28" xfId="4" applyNumberFormat="1" applyFont="1" applyFill="1" applyBorder="1" applyAlignment="1" applyProtection="1">
      <alignment horizontal="center" vertical="top"/>
      <protection locked="0"/>
    </xf>
    <xf numFmtId="1" fontId="53" fillId="8" borderId="28" xfId="4" applyNumberFormat="1" applyFont="1" applyFill="1" applyBorder="1" applyAlignment="1" applyProtection="1">
      <alignment horizontal="center" vertical="top"/>
      <protection locked="0"/>
    </xf>
    <xf numFmtId="178" fontId="53" fillId="8" borderId="28" xfId="4" applyNumberFormat="1" applyFont="1" applyFill="1" applyBorder="1" applyAlignment="1" applyProtection="1">
      <alignment horizontal="center" vertical="top"/>
      <protection locked="0"/>
    </xf>
    <xf numFmtId="14" fontId="53" fillId="8" borderId="28" xfId="4" applyNumberFormat="1" applyFont="1" applyFill="1" applyBorder="1" applyAlignment="1" applyProtection="1">
      <alignment horizontal="left" vertical="top"/>
      <protection locked="0"/>
    </xf>
    <xf numFmtId="0" fontId="55" fillId="8" borderId="28" xfId="4" applyFont="1" applyFill="1" applyBorder="1" applyAlignment="1" applyProtection="1">
      <alignment vertical="top"/>
      <protection locked="0"/>
    </xf>
    <xf numFmtId="0" fontId="55" fillId="8" borderId="28" xfId="4" applyFont="1" applyFill="1" applyBorder="1" applyAlignment="1" applyProtection="1">
      <alignment horizontal="left" vertical="top"/>
      <protection locked="0"/>
    </xf>
    <xf numFmtId="14" fontId="55" fillId="8" borderId="28" xfId="4" applyNumberFormat="1" applyFont="1" applyFill="1" applyBorder="1" applyAlignment="1" applyProtection="1">
      <alignment horizontal="center" vertical="top"/>
      <protection locked="0"/>
    </xf>
    <xf numFmtId="0" fontId="55" fillId="8" borderId="28" xfId="4" applyNumberFormat="1" applyFont="1" applyFill="1" applyBorder="1" applyAlignment="1" applyProtection="1">
      <alignment horizontal="left" vertical="top"/>
      <protection locked="0"/>
    </xf>
    <xf numFmtId="176" fontId="55" fillId="8" borderId="28" xfId="4" applyNumberFormat="1" applyFont="1" applyFill="1" applyBorder="1" applyAlignment="1" applyProtection="1">
      <alignment horizontal="center" vertical="top"/>
      <protection locked="0"/>
    </xf>
    <xf numFmtId="0" fontId="55" fillId="8" borderId="28" xfId="4" applyNumberFormat="1" applyFont="1" applyFill="1" applyBorder="1" applyAlignment="1" applyProtection="1">
      <alignment horizontal="center" vertical="top"/>
      <protection locked="0"/>
    </xf>
    <xf numFmtId="177" fontId="55" fillId="8" borderId="28" xfId="4" applyNumberFormat="1" applyFont="1" applyFill="1" applyBorder="1" applyAlignment="1" applyProtection="1">
      <alignment horizontal="center" vertical="top"/>
      <protection locked="0"/>
    </xf>
    <xf numFmtId="1" fontId="55" fillId="8" borderId="28" xfId="4" applyNumberFormat="1" applyFont="1" applyFill="1" applyBorder="1" applyAlignment="1" applyProtection="1">
      <alignment horizontal="center" vertical="top"/>
      <protection locked="0"/>
    </xf>
    <xf numFmtId="178" fontId="55" fillId="8" borderId="28" xfId="4" applyNumberFormat="1" applyFont="1" applyFill="1" applyBorder="1" applyAlignment="1" applyProtection="1">
      <alignment horizontal="center" vertical="top"/>
      <protection locked="0"/>
    </xf>
    <xf numFmtId="14" fontId="55" fillId="8" borderId="28" xfId="4" applyNumberFormat="1" applyFont="1" applyFill="1" applyBorder="1" applyAlignment="1" applyProtection="1">
      <alignment horizontal="left" vertical="top"/>
      <protection locked="0"/>
    </xf>
    <xf numFmtId="0" fontId="54" fillId="0" borderId="27" xfId="4" applyFont="1" applyFill="1" applyBorder="1" applyAlignment="1" applyProtection="1">
      <alignment vertical="top"/>
      <protection locked="0"/>
    </xf>
    <xf numFmtId="0" fontId="54" fillId="0" borderId="27" xfId="4" applyFont="1" applyFill="1" applyBorder="1" applyAlignment="1" applyProtection="1">
      <alignment horizontal="right" vertical="top"/>
      <protection locked="0"/>
    </xf>
    <xf numFmtId="0" fontId="54" fillId="0" borderId="27" xfId="4" applyFont="1" applyFill="1" applyBorder="1" applyAlignment="1" applyProtection="1">
      <alignment horizontal="left" vertical="top"/>
      <protection locked="0"/>
    </xf>
    <xf numFmtId="14" fontId="54" fillId="0" borderId="27" xfId="4" applyNumberFormat="1" applyFont="1" applyFill="1" applyBorder="1" applyAlignment="1" applyProtection="1">
      <alignment horizontal="center" vertical="top"/>
      <protection locked="0"/>
    </xf>
    <xf numFmtId="0" fontId="54" fillId="0" borderId="27" xfId="4" applyNumberFormat="1" applyFont="1" applyFill="1" applyBorder="1" applyAlignment="1" applyProtection="1">
      <alignment horizontal="left" vertical="top"/>
      <protection locked="0"/>
    </xf>
    <xf numFmtId="176" fontId="54" fillId="0" borderId="27" xfId="4" applyNumberFormat="1" applyFont="1" applyFill="1" applyBorder="1" applyAlignment="1" applyProtection="1">
      <alignment horizontal="center" vertical="top"/>
      <protection locked="0"/>
    </xf>
    <xf numFmtId="0" fontId="54" fillId="0" borderId="27" xfId="4" applyNumberFormat="1" applyFont="1" applyFill="1" applyBorder="1" applyAlignment="1" applyProtection="1">
      <alignment horizontal="center" vertical="top"/>
      <protection locked="0"/>
    </xf>
    <xf numFmtId="177" fontId="54" fillId="0" borderId="27" xfId="4" applyNumberFormat="1" applyFont="1" applyFill="1" applyBorder="1" applyAlignment="1" applyProtection="1">
      <alignment horizontal="center" vertical="top"/>
      <protection locked="0"/>
    </xf>
    <xf numFmtId="1" fontId="54" fillId="0" borderId="27" xfId="4" applyNumberFormat="1" applyFont="1" applyFill="1" applyBorder="1" applyAlignment="1" applyProtection="1">
      <alignment horizontal="center" vertical="top"/>
      <protection locked="0"/>
    </xf>
    <xf numFmtId="178" fontId="54" fillId="0" borderId="27" xfId="4" applyNumberFormat="1" applyFont="1" applyFill="1" applyBorder="1" applyAlignment="1" applyProtection="1">
      <alignment horizontal="center" vertical="top"/>
      <protection locked="0"/>
    </xf>
    <xf numFmtId="14" fontId="54" fillId="0" borderId="27" xfId="4" applyNumberFormat="1" applyFont="1" applyFill="1" applyBorder="1" applyAlignment="1" applyProtection="1">
      <alignment horizontal="left" vertical="top"/>
      <protection locked="0"/>
    </xf>
    <xf numFmtId="10" fontId="54" fillId="0" borderId="27" xfId="3" applyNumberFormat="1" applyFont="1" applyFill="1" applyBorder="1" applyAlignment="1" applyProtection="1">
      <alignment horizontal="right" vertical="top" wrapText="1"/>
      <protection locked="0"/>
    </xf>
    <xf numFmtId="10" fontId="54" fillId="0" borderId="27" xfId="3" applyNumberFormat="1" applyFont="1" applyFill="1" applyBorder="1" applyAlignment="1" applyProtection="1">
      <alignment horizontal="right" vertical="top"/>
      <protection locked="0"/>
    </xf>
    <xf numFmtId="0" fontId="54" fillId="0" borderId="24" xfId="4" applyFont="1" applyFill="1" applyBorder="1" applyAlignment="1" applyProtection="1">
      <alignment horizontal="left" vertical="center"/>
      <protection locked="0"/>
    </xf>
    <xf numFmtId="0" fontId="54" fillId="0" borderId="28" xfId="4" applyFont="1" applyFill="1" applyBorder="1" applyAlignment="1" applyProtection="1">
      <alignment horizontal="left" vertical="top"/>
      <protection locked="0"/>
    </xf>
    <xf numFmtId="0" fontId="54" fillId="0" borderId="5" xfId="4" applyFont="1" applyFill="1" applyBorder="1" applyAlignment="1" applyProtection="1">
      <alignment horizontal="left" vertical="top"/>
      <protection locked="0"/>
    </xf>
    <xf numFmtId="14" fontId="54" fillId="0" borderId="5" xfId="4" applyNumberFormat="1" applyFont="1" applyFill="1" applyBorder="1" applyAlignment="1" applyProtection="1">
      <alignment horizontal="center" vertical="top"/>
      <protection locked="0"/>
    </xf>
    <xf numFmtId="0" fontId="54" fillId="0" borderId="5" xfId="4" applyNumberFormat="1" applyFont="1" applyFill="1" applyBorder="1" applyAlignment="1" applyProtection="1">
      <alignment horizontal="left" vertical="top"/>
      <protection locked="0"/>
    </xf>
    <xf numFmtId="176" fontId="54" fillId="0" borderId="5" xfId="4" applyNumberFormat="1" applyFont="1" applyFill="1" applyBorder="1" applyAlignment="1" applyProtection="1">
      <alignment horizontal="center" vertical="top"/>
      <protection locked="0"/>
    </xf>
    <xf numFmtId="0" fontId="54" fillId="0" borderId="5" xfId="4" applyNumberFormat="1" applyFont="1" applyFill="1" applyBorder="1" applyAlignment="1" applyProtection="1">
      <alignment horizontal="center" vertical="top"/>
      <protection locked="0"/>
    </xf>
    <xf numFmtId="177" fontId="54" fillId="0" borderId="5" xfId="4" applyNumberFormat="1" applyFont="1" applyFill="1" applyBorder="1" applyAlignment="1" applyProtection="1">
      <alignment horizontal="center" vertical="top"/>
      <protection locked="0"/>
    </xf>
    <xf numFmtId="1" fontId="54" fillId="0" borderId="5" xfId="4" applyNumberFormat="1" applyFont="1" applyFill="1" applyBorder="1" applyAlignment="1" applyProtection="1">
      <alignment horizontal="center" vertical="top"/>
      <protection locked="0"/>
    </xf>
    <xf numFmtId="178" fontId="54" fillId="0" borderId="5" xfId="4" applyNumberFormat="1" applyFont="1" applyFill="1" applyBorder="1" applyAlignment="1" applyProtection="1">
      <alignment horizontal="center" vertical="top"/>
      <protection locked="0"/>
    </xf>
    <xf numFmtId="14" fontId="54" fillId="0" borderId="5" xfId="4" applyNumberFormat="1" applyFont="1" applyFill="1" applyBorder="1" applyAlignment="1" applyProtection="1">
      <alignment horizontal="left" vertical="top"/>
      <protection locked="0"/>
    </xf>
    <xf numFmtId="10" fontId="54" fillId="0" borderId="5" xfId="3" applyNumberFormat="1" applyFont="1" applyFill="1" applyBorder="1" applyAlignment="1" applyProtection="1">
      <alignment horizontal="right" vertical="top" wrapText="1"/>
      <protection locked="0"/>
    </xf>
    <xf numFmtId="10" fontId="54" fillId="0" borderId="5" xfId="3" applyNumberFormat="1" applyFont="1" applyFill="1" applyBorder="1" applyAlignment="1" applyProtection="1">
      <alignment horizontal="right" vertical="top"/>
      <protection locked="0"/>
    </xf>
    <xf numFmtId="0" fontId="54" fillId="0" borderId="28" xfId="4" quotePrefix="1" applyFont="1" applyFill="1" applyBorder="1" applyAlignment="1" applyProtection="1">
      <alignment horizontal="right" vertical="top"/>
      <protection locked="0"/>
    </xf>
    <xf numFmtId="0" fontId="54" fillId="0" borderId="5" xfId="4" applyFont="1" applyFill="1" applyBorder="1" applyAlignment="1" applyProtection="1">
      <alignment horizontal="right" vertical="top"/>
      <protection locked="0"/>
    </xf>
    <xf numFmtId="0" fontId="53" fillId="0" borderId="28" xfId="4" quotePrefix="1" applyFont="1" applyFill="1" applyBorder="1" applyAlignment="1" applyProtection="1">
      <alignment horizontal="right" vertical="top" wrapText="1"/>
      <protection locked="0"/>
    </xf>
    <xf numFmtId="0" fontId="54" fillId="0" borderId="5" xfId="4" applyFont="1" applyFill="1" applyBorder="1" applyAlignment="1" applyProtection="1">
      <alignment vertical="top"/>
      <protection locked="0"/>
    </xf>
    <xf numFmtId="0" fontId="57" fillId="5" borderId="19" xfId="1" applyFont="1" applyFill="1" applyBorder="1" applyAlignment="1">
      <alignment horizontal="left" vertical="center" wrapText="1"/>
    </xf>
    <xf numFmtId="0" fontId="57" fillId="5" borderId="21" xfId="1" applyFont="1" applyFill="1" applyBorder="1" applyAlignment="1">
      <alignment horizontal="left" vertical="center"/>
    </xf>
    <xf numFmtId="0" fontId="57" fillId="5" borderId="21" xfId="1" applyFont="1" applyFill="1" applyBorder="1" applyAlignment="1">
      <alignment horizontal="left" vertical="center" wrapText="1"/>
    </xf>
    <xf numFmtId="0" fontId="57" fillId="5" borderId="20" xfId="1" applyFont="1" applyFill="1" applyBorder="1" applyAlignment="1">
      <alignment horizontal="left" vertical="center"/>
    </xf>
    <xf numFmtId="180" fontId="52" fillId="5" borderId="19" xfId="4" applyNumberFormat="1" applyFont="1" applyFill="1" applyBorder="1" applyAlignment="1" applyProtection="1">
      <alignment horizontal="center" vertical="center"/>
    </xf>
    <xf numFmtId="180" fontId="52" fillId="5" borderId="21" xfId="4" applyNumberFormat="1" applyFont="1" applyFill="1" applyBorder="1" applyAlignment="1" applyProtection="1">
      <alignment horizontal="center" vertical="center"/>
    </xf>
    <xf numFmtId="180" fontId="52" fillId="5" borderId="20" xfId="4" applyNumberFormat="1" applyFont="1" applyFill="1" applyBorder="1" applyAlignment="1" applyProtection="1">
      <alignment horizontal="center" vertical="center"/>
    </xf>
    <xf numFmtId="0" fontId="54" fillId="0" borderId="25" xfId="4" applyFont="1" applyFill="1" applyBorder="1" applyAlignment="1" applyProtection="1">
      <alignment horizontal="left" vertical="center"/>
      <protection locked="0"/>
    </xf>
    <xf numFmtId="14" fontId="43" fillId="0" borderId="28" xfId="4" applyNumberFormat="1" applyFont="1" applyFill="1" applyBorder="1" applyAlignment="1" applyProtection="1">
      <alignment horizontal="left" vertical="top"/>
      <protection locked="0"/>
    </xf>
    <xf numFmtId="0" fontId="50" fillId="8" borderId="28" xfId="4" quotePrefix="1" applyFont="1" applyFill="1" applyBorder="1" applyAlignment="1" applyProtection="1">
      <alignment horizontal="right" vertical="top"/>
      <protection locked="0"/>
    </xf>
    <xf numFmtId="0" fontId="0" fillId="0" borderId="0" xfId="0"/>
    <xf numFmtId="14" fontId="0" fillId="0" borderId="0" xfId="0" applyNumberFormat="1"/>
    <xf numFmtId="9" fontId="0" fillId="0" borderId="0" xfId="0" applyNumberFormat="1"/>
    <xf numFmtId="10" fontId="0" fillId="0" borderId="0" xfId="0" applyNumberFormat="1"/>
    <xf numFmtId="0" fontId="39" fillId="11" borderId="0" xfId="2" applyFont="1" applyFill="1" applyBorder="1" applyAlignment="1">
      <alignment horizontal="left" vertical="center"/>
    </xf>
    <xf numFmtId="0" fontId="40" fillId="11" borderId="0" xfId="1" applyFont="1" applyFill="1" applyBorder="1" applyAlignment="1">
      <alignment horizontal="left" vertical="center"/>
    </xf>
    <xf numFmtId="0" fontId="0" fillId="9" borderId="0" xfId="0" applyFill="1"/>
    <xf numFmtId="14" fontId="0" fillId="9" borderId="0" xfId="0" applyNumberFormat="1" applyFill="1"/>
  </cellXfs>
  <cellStyles count="7">
    <cellStyle name="강조색5 2" xfId="1"/>
    <cellStyle name="백분율" xfId="6" builtinId="5"/>
    <cellStyle name="백분율 2" xfId="3"/>
    <cellStyle name="표준" xfId="0" builtinId="0"/>
    <cellStyle name="표준 2" xfId="4"/>
    <cellStyle name="표준 2 2" xfId="5"/>
    <cellStyle name="하이퍼링크" xfId="2" builtinId="8"/>
  </cellStyles>
  <dxfs count="25">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ill>
        <patternFill>
          <bgColor rgb="FFFFC000"/>
        </patternFill>
      </fill>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s>
  <tableStyles count="0" defaultTableStyle="TableStyleMedium2" defaultPivotStyle="PivotStyleLight16"/>
  <colors>
    <mruColors>
      <color rgb="FF3399FF"/>
      <color rgb="FF2592FF"/>
      <color rgb="FF00A44A"/>
      <color rgb="FFF2F2FF"/>
      <color rgb="FFFF3300"/>
      <color rgb="FFFF6F0D"/>
      <color rgb="FFED7D31"/>
      <color rgb="FF198CFF"/>
      <color rgb="FFFF6600"/>
      <color rgb="FFFA65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AnalysisReport!$F$6</c:f>
              <c:strCache>
                <c:ptCount val="1"/>
                <c:pt idx="0">
                  <c:v>계획작업량 진척율</c:v>
                </c:pt>
              </c:strCache>
            </c:strRef>
          </c:tx>
          <c:cat>
            <c:numRef>
              <c:f>AnalysisReport!$C$7:$C$28</c:f>
              <c:numCache>
                <c:formatCode>m/d/yyyy</c:formatCode>
                <c:ptCount val="22"/>
                <c:pt idx="0">
                  <c:v>43701</c:v>
                </c:pt>
                <c:pt idx="1">
                  <c:v>43708</c:v>
                </c:pt>
                <c:pt idx="2">
                  <c:v>43715</c:v>
                </c:pt>
                <c:pt idx="3">
                  <c:v>43722</c:v>
                </c:pt>
                <c:pt idx="4">
                  <c:v>43729</c:v>
                </c:pt>
                <c:pt idx="5">
                  <c:v>43736</c:v>
                </c:pt>
                <c:pt idx="6">
                  <c:v>43743</c:v>
                </c:pt>
                <c:pt idx="7">
                  <c:v>43750</c:v>
                </c:pt>
                <c:pt idx="8">
                  <c:v>43757</c:v>
                </c:pt>
                <c:pt idx="9">
                  <c:v>43764</c:v>
                </c:pt>
                <c:pt idx="10">
                  <c:v>43771</c:v>
                </c:pt>
                <c:pt idx="11">
                  <c:v>43778</c:v>
                </c:pt>
                <c:pt idx="12">
                  <c:v>43785</c:v>
                </c:pt>
                <c:pt idx="13">
                  <c:v>43792</c:v>
                </c:pt>
                <c:pt idx="14">
                  <c:v>43799</c:v>
                </c:pt>
                <c:pt idx="15">
                  <c:v>43806</c:v>
                </c:pt>
                <c:pt idx="16">
                  <c:v>43813</c:v>
                </c:pt>
                <c:pt idx="17">
                  <c:v>43820</c:v>
                </c:pt>
                <c:pt idx="18">
                  <c:v>43827</c:v>
                </c:pt>
                <c:pt idx="19">
                  <c:v>43834</c:v>
                </c:pt>
                <c:pt idx="20">
                  <c:v>43841</c:v>
                </c:pt>
                <c:pt idx="21">
                  <c:v>43848</c:v>
                </c:pt>
              </c:numCache>
            </c:numRef>
          </c:cat>
          <c:val>
            <c:numRef>
              <c:f>AnalysisReport!$F$7:$F$28</c:f>
              <c:numCache>
                <c:formatCode>0.00%</c:formatCode>
                <c:ptCount val="22"/>
                <c:pt idx="0">
                  <c:v>1.444043321299639E-2</c:v>
                </c:pt>
                <c:pt idx="1">
                  <c:v>6.1371841155234655E-2</c:v>
                </c:pt>
                <c:pt idx="2">
                  <c:v>0.11552346570397112</c:v>
                </c:pt>
                <c:pt idx="3">
                  <c:v>0.13718411552346571</c:v>
                </c:pt>
                <c:pt idx="4">
                  <c:v>0.16967509025270758</c:v>
                </c:pt>
                <c:pt idx="5">
                  <c:v>0.22021660649819494</c:v>
                </c:pt>
                <c:pt idx="6">
                  <c:v>0.2563176895306859</c:v>
                </c:pt>
                <c:pt idx="7">
                  <c:v>0.27436823104693142</c:v>
                </c:pt>
                <c:pt idx="8">
                  <c:v>0.3176895306859206</c:v>
                </c:pt>
                <c:pt idx="9">
                  <c:v>0.37906137184115524</c:v>
                </c:pt>
                <c:pt idx="10">
                  <c:v>0.44404332129963897</c:v>
                </c:pt>
                <c:pt idx="11">
                  <c:v>0.50180505415162457</c:v>
                </c:pt>
                <c:pt idx="12">
                  <c:v>0.55595667870036103</c:v>
                </c:pt>
                <c:pt idx="13">
                  <c:v>0.62093862815884482</c:v>
                </c:pt>
                <c:pt idx="14">
                  <c:v>0.70036101083032487</c:v>
                </c:pt>
                <c:pt idx="15">
                  <c:v>0.79061371841155237</c:v>
                </c:pt>
                <c:pt idx="16">
                  <c:v>0.88086642599277976</c:v>
                </c:pt>
                <c:pt idx="17">
                  <c:v>0.89891696750902528</c:v>
                </c:pt>
                <c:pt idx="18">
                  <c:v>0.9422382671480144</c:v>
                </c:pt>
                <c:pt idx="19">
                  <c:v>0.95667870036101088</c:v>
                </c:pt>
                <c:pt idx="20">
                  <c:v>0.97472924187725629</c:v>
                </c:pt>
                <c:pt idx="21">
                  <c:v>1</c:v>
                </c:pt>
              </c:numCache>
            </c:numRef>
          </c:val>
          <c:smooth val="0"/>
          <c:extLst>
            <c:ext xmlns:c16="http://schemas.microsoft.com/office/drawing/2014/chart" uri="{C3380CC4-5D6E-409C-BE32-E72D297353CC}">
              <c16:uniqueId val="{00000000-1574-4CC5-9CDB-CE378287169E}"/>
            </c:ext>
          </c:extLst>
        </c:ser>
        <c:ser>
          <c:idx val="1"/>
          <c:order val="1"/>
          <c:tx>
            <c:strRef>
              <c:f>AnalysisReport!$I$6</c:f>
              <c:strCache>
                <c:ptCount val="1"/>
                <c:pt idx="0">
                  <c:v>실적기성 진척율</c:v>
                </c:pt>
              </c:strCache>
            </c:strRef>
          </c:tx>
          <c:cat>
            <c:numRef>
              <c:f>AnalysisReport!$C$7:$C$28</c:f>
              <c:numCache>
                <c:formatCode>m/d/yyyy</c:formatCode>
                <c:ptCount val="22"/>
                <c:pt idx="0">
                  <c:v>43701</c:v>
                </c:pt>
                <c:pt idx="1">
                  <c:v>43708</c:v>
                </c:pt>
                <c:pt idx="2">
                  <c:v>43715</c:v>
                </c:pt>
                <c:pt idx="3">
                  <c:v>43722</c:v>
                </c:pt>
                <c:pt idx="4">
                  <c:v>43729</c:v>
                </c:pt>
                <c:pt idx="5">
                  <c:v>43736</c:v>
                </c:pt>
                <c:pt idx="6">
                  <c:v>43743</c:v>
                </c:pt>
                <c:pt idx="7">
                  <c:v>43750</c:v>
                </c:pt>
                <c:pt idx="8">
                  <c:v>43757</c:v>
                </c:pt>
                <c:pt idx="9">
                  <c:v>43764</c:v>
                </c:pt>
                <c:pt idx="10">
                  <c:v>43771</c:v>
                </c:pt>
                <c:pt idx="11">
                  <c:v>43778</c:v>
                </c:pt>
                <c:pt idx="12">
                  <c:v>43785</c:v>
                </c:pt>
                <c:pt idx="13">
                  <c:v>43792</c:v>
                </c:pt>
                <c:pt idx="14">
                  <c:v>43799</c:v>
                </c:pt>
                <c:pt idx="15">
                  <c:v>43806</c:v>
                </c:pt>
                <c:pt idx="16">
                  <c:v>43813</c:v>
                </c:pt>
                <c:pt idx="17">
                  <c:v>43820</c:v>
                </c:pt>
                <c:pt idx="18">
                  <c:v>43827</c:v>
                </c:pt>
                <c:pt idx="19">
                  <c:v>43834</c:v>
                </c:pt>
                <c:pt idx="20">
                  <c:v>43841</c:v>
                </c:pt>
                <c:pt idx="21">
                  <c:v>43848</c:v>
                </c:pt>
              </c:numCache>
            </c:numRef>
          </c:cat>
          <c:val>
            <c:numRef>
              <c:f>AnalysisReport!$I$7:$I$28</c:f>
              <c:numCache>
                <c:formatCode>0.00%</c:formatCode>
                <c:ptCount val="22"/>
                <c:pt idx="0">
                  <c:v>1.444043321299639E-2</c:v>
                </c:pt>
                <c:pt idx="1">
                  <c:v>5.4151624548736461E-2</c:v>
                </c:pt>
                <c:pt idx="2">
                  <c:v>9.6028880866425997E-2</c:v>
                </c:pt>
                <c:pt idx="3">
                  <c:v>0.11768953068592058</c:v>
                </c:pt>
                <c:pt idx="4">
                  <c:v>0.12851985559566786</c:v>
                </c:pt>
                <c:pt idx="5">
                  <c:v>0.12851985559566786</c:v>
                </c:pt>
              </c:numCache>
            </c:numRef>
          </c:val>
          <c:smooth val="0"/>
          <c:extLst>
            <c:ext xmlns:c16="http://schemas.microsoft.com/office/drawing/2014/chart" uri="{C3380CC4-5D6E-409C-BE32-E72D297353CC}">
              <c16:uniqueId val="{00000001-1574-4CC5-9CDB-CE378287169E}"/>
            </c:ext>
          </c:extLst>
        </c:ser>
        <c:ser>
          <c:idx val="2"/>
          <c:order val="2"/>
          <c:tx>
            <c:strRef>
              <c:f>AnalysisReport!$L$6</c:f>
              <c:strCache>
                <c:ptCount val="1"/>
                <c:pt idx="0">
                  <c:v>실제작업량 진척율</c:v>
                </c:pt>
              </c:strCache>
            </c:strRef>
          </c:tx>
          <c:cat>
            <c:numRef>
              <c:f>AnalysisReport!$C$7:$C$28</c:f>
              <c:numCache>
                <c:formatCode>m/d/yyyy</c:formatCode>
                <c:ptCount val="22"/>
                <c:pt idx="0">
                  <c:v>43701</c:v>
                </c:pt>
                <c:pt idx="1">
                  <c:v>43708</c:v>
                </c:pt>
                <c:pt idx="2">
                  <c:v>43715</c:v>
                </c:pt>
                <c:pt idx="3">
                  <c:v>43722</c:v>
                </c:pt>
                <c:pt idx="4">
                  <c:v>43729</c:v>
                </c:pt>
                <c:pt idx="5">
                  <c:v>43736</c:v>
                </c:pt>
                <c:pt idx="6">
                  <c:v>43743</c:v>
                </c:pt>
                <c:pt idx="7">
                  <c:v>43750</c:v>
                </c:pt>
                <c:pt idx="8">
                  <c:v>43757</c:v>
                </c:pt>
                <c:pt idx="9">
                  <c:v>43764</c:v>
                </c:pt>
                <c:pt idx="10">
                  <c:v>43771</c:v>
                </c:pt>
                <c:pt idx="11">
                  <c:v>43778</c:v>
                </c:pt>
                <c:pt idx="12">
                  <c:v>43785</c:v>
                </c:pt>
                <c:pt idx="13">
                  <c:v>43792</c:v>
                </c:pt>
                <c:pt idx="14">
                  <c:v>43799</c:v>
                </c:pt>
                <c:pt idx="15">
                  <c:v>43806</c:v>
                </c:pt>
                <c:pt idx="16">
                  <c:v>43813</c:v>
                </c:pt>
                <c:pt idx="17">
                  <c:v>43820</c:v>
                </c:pt>
                <c:pt idx="18">
                  <c:v>43827</c:v>
                </c:pt>
                <c:pt idx="19">
                  <c:v>43834</c:v>
                </c:pt>
                <c:pt idx="20">
                  <c:v>43841</c:v>
                </c:pt>
                <c:pt idx="21">
                  <c:v>43848</c:v>
                </c:pt>
              </c:numCache>
            </c:numRef>
          </c:cat>
          <c:val>
            <c:numRef>
              <c:f>AnalysisReport!$L$7:$L$28</c:f>
              <c:numCache>
                <c:formatCode>0.00%</c:formatCode>
                <c:ptCount val="22"/>
                <c:pt idx="0">
                  <c:v>0</c:v>
                </c:pt>
                <c:pt idx="1">
                  <c:v>0</c:v>
                </c:pt>
                <c:pt idx="2">
                  <c:v>0</c:v>
                </c:pt>
                <c:pt idx="3">
                  <c:v>0</c:v>
                </c:pt>
                <c:pt idx="4">
                  <c:v>0</c:v>
                </c:pt>
                <c:pt idx="5">
                  <c:v>0</c:v>
                </c:pt>
              </c:numCache>
            </c:numRef>
          </c:val>
          <c:smooth val="0"/>
          <c:extLst>
            <c:ext xmlns:c16="http://schemas.microsoft.com/office/drawing/2014/chart" uri="{C3380CC4-5D6E-409C-BE32-E72D297353CC}">
              <c16:uniqueId val="{00000002-1574-4CC5-9CDB-CE378287169E}"/>
            </c:ext>
          </c:extLst>
        </c:ser>
        <c:dLbls>
          <c:showLegendKey val="0"/>
          <c:showVal val="0"/>
          <c:showCatName val="0"/>
          <c:showSerName val="0"/>
          <c:showPercent val="0"/>
          <c:showBubbleSize val="0"/>
        </c:dLbls>
        <c:marker val="1"/>
        <c:smooth val="0"/>
        <c:axId val="2084084864"/>
        <c:axId val="2084064240"/>
      </c:lineChart>
      <c:dateAx>
        <c:axId val="2084084864"/>
        <c:scaling>
          <c:orientation val="minMax"/>
        </c:scaling>
        <c:delete val="0"/>
        <c:axPos val="b"/>
        <c:numFmt formatCode="m/d/yyyy" sourceLinked="1"/>
        <c:majorTickMark val="out"/>
        <c:minorTickMark val="none"/>
        <c:tickLblPos val="nextTo"/>
        <c:txPr>
          <a:bodyPr rot="-2700000" vert="horz"/>
          <a:lstStyle/>
          <a:p>
            <a:pPr>
              <a:defRPr/>
            </a:pPr>
            <a:endParaRPr lang="ko-KR"/>
          </a:p>
        </c:txPr>
        <c:crossAx val="2084064240"/>
        <c:crosses val="autoZero"/>
        <c:auto val="1"/>
        <c:lblOffset val="100"/>
        <c:baseTimeUnit val="days"/>
      </c:dateAx>
      <c:valAx>
        <c:axId val="2084064240"/>
        <c:scaling>
          <c:orientation val="minMax"/>
        </c:scaling>
        <c:delete val="0"/>
        <c:axPos val="l"/>
        <c:majorGridlines/>
        <c:numFmt formatCode="0.00%" sourceLinked="1"/>
        <c:majorTickMark val="out"/>
        <c:minorTickMark val="none"/>
        <c:tickLblPos val="nextTo"/>
        <c:crossAx val="2084084864"/>
        <c:crosses val="autoZero"/>
        <c:crossBetween val="between"/>
      </c:valAx>
    </c:plotArea>
    <c:legend>
      <c:legendPos val="r"/>
      <c:layout/>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3</xdr:col>
      <xdr:colOff>12700</xdr:colOff>
      <xdr:row>0</xdr:row>
      <xdr:rowOff>12700</xdr:rowOff>
    </xdr:from>
    <xdr:to>
      <xdr:col>3</xdr:col>
      <xdr:colOff>12700</xdr:colOff>
      <xdr:row>0</xdr:row>
      <xdr:rowOff>12700</xdr:rowOff>
    </xdr:to>
    <xdr:cxnSp macro="">
      <xdr:nvCxnSpPr>
        <xdr:cNvPr id="3823" name="연결선: 꺾임 3822">
          <a:extLst>
            <a:ext uri="{FF2B5EF4-FFF2-40B4-BE49-F238E27FC236}">
              <a16:creationId xmlns:a16="http://schemas.microsoft.com/office/drawing/2014/main" id="{001A3C5A-D18D-48E4-ABB8-72C6A2CAA0A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008" name="연결선: 꺾임 14007">
          <a:extLst>
            <a:ext uri="{FF2B5EF4-FFF2-40B4-BE49-F238E27FC236}">
              <a16:creationId xmlns:a16="http://schemas.microsoft.com/office/drawing/2014/main" id="{4F5D8845-CA7E-497E-A8F4-40FA27ABE04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033" name="연결선: 꺾임 23032">
          <a:extLst>
            <a:ext uri="{FF2B5EF4-FFF2-40B4-BE49-F238E27FC236}">
              <a16:creationId xmlns:a16="http://schemas.microsoft.com/office/drawing/2014/main" id="{F2A0302E-BED7-45C3-B1F1-8D894C0958C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038" name="연결선: 꺾임 23037">
          <a:extLst>
            <a:ext uri="{FF2B5EF4-FFF2-40B4-BE49-F238E27FC236}">
              <a16:creationId xmlns:a16="http://schemas.microsoft.com/office/drawing/2014/main" id="{AE75C788-8D0C-40F2-9A8D-C17329F8B68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761999</xdr:colOff>
      <xdr:row>3</xdr:row>
      <xdr:rowOff>76073</xdr:rowOff>
    </xdr:from>
    <xdr:to>
      <xdr:col>46</xdr:col>
      <xdr:colOff>761999</xdr:colOff>
      <xdr:row>95</xdr:row>
      <xdr:rowOff>0</xdr:rowOff>
    </xdr:to>
    <xdr:cxnSp macro="">
      <xdr:nvCxnSpPr>
        <xdr:cNvPr id="24344" name="직선 화살표 연결선 24343"/>
        <xdr:cNvCxnSpPr/>
      </xdr:nvCxnSpPr>
      <xdr:spPr>
        <a:xfrm>
          <a:off x="26967179" y="754253"/>
          <a:ext cx="0" cy="18029047"/>
        </a:xfrm>
        <a:prstGeom prst="straightConnector1">
          <a:avLst/>
        </a:prstGeom>
        <a:ln w="6350">
          <a:solidFill>
            <a:srgbClr val="BFBFBF"/>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0</xdr:colOff>
      <xdr:row>3</xdr:row>
      <xdr:rowOff>76073</xdr:rowOff>
    </xdr:from>
    <xdr:to>
      <xdr:col>46</xdr:col>
      <xdr:colOff>0</xdr:colOff>
      <xdr:row>95</xdr:row>
      <xdr:rowOff>0</xdr:rowOff>
    </xdr:to>
    <xdr:cxnSp macro="">
      <xdr:nvCxnSpPr>
        <xdr:cNvPr id="24345" name="직선 화살표 연결선 24344"/>
        <xdr:cNvCxnSpPr/>
      </xdr:nvCxnSpPr>
      <xdr:spPr>
        <a:xfrm>
          <a:off x="16946880" y="754253"/>
          <a:ext cx="0" cy="18029047"/>
        </a:xfrm>
        <a:prstGeom prst="straightConnector1">
          <a:avLst/>
        </a:prstGeom>
        <a:ln w="6350">
          <a:solidFill>
            <a:srgbClr val="FF0000"/>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103414</xdr:colOff>
      <xdr:row>94</xdr:row>
      <xdr:rowOff>41911</xdr:rowOff>
    </xdr:from>
    <xdr:to>
      <xdr:col>58</xdr:col>
      <xdr:colOff>84000</xdr:colOff>
      <xdr:row>94</xdr:row>
      <xdr:rowOff>156211</xdr:rowOff>
    </xdr:to>
    <xdr:sp macro="" textlink="">
      <xdr:nvSpPr>
        <xdr:cNvPr id="24346" name="91"/>
        <xdr:cNvSpPr/>
      </xdr:nvSpPr>
      <xdr:spPr>
        <a:xfrm>
          <a:off x="18642874" y="18627091"/>
          <a:ext cx="12536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57</xdr:col>
      <xdr:colOff>103414</xdr:colOff>
      <xdr:row>94</xdr:row>
      <xdr:rowOff>99061</xdr:rowOff>
    </xdr:from>
    <xdr:to>
      <xdr:col>57</xdr:col>
      <xdr:colOff>103414</xdr:colOff>
      <xdr:row>94</xdr:row>
      <xdr:rowOff>99061</xdr:rowOff>
    </xdr:to>
    <xdr:cxnSp macro="">
      <xdr:nvCxnSpPr>
        <xdr:cNvPr id="24347" name="직선 화살표 연결선 24346"/>
        <xdr:cNvCxnSpPr/>
      </xdr:nvCxnSpPr>
      <xdr:spPr>
        <a:xfrm>
          <a:off x="18642874" y="18684241"/>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62049</xdr:colOff>
      <xdr:row>93</xdr:row>
      <xdr:rowOff>41911</xdr:rowOff>
    </xdr:from>
    <xdr:to>
      <xdr:col>57</xdr:col>
      <xdr:colOff>125367</xdr:colOff>
      <xdr:row>93</xdr:row>
      <xdr:rowOff>156211</xdr:rowOff>
    </xdr:to>
    <xdr:sp macro="" textlink="">
      <xdr:nvSpPr>
        <xdr:cNvPr id="24348" name="90"/>
        <xdr:cNvSpPr/>
      </xdr:nvSpPr>
      <xdr:spPr>
        <a:xfrm>
          <a:off x="18456729" y="18428971"/>
          <a:ext cx="20809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56</xdr:col>
      <xdr:colOff>62049</xdr:colOff>
      <xdr:row>93</xdr:row>
      <xdr:rowOff>99061</xdr:rowOff>
    </xdr:from>
    <xdr:to>
      <xdr:col>56</xdr:col>
      <xdr:colOff>62049</xdr:colOff>
      <xdr:row>93</xdr:row>
      <xdr:rowOff>99061</xdr:rowOff>
    </xdr:to>
    <xdr:cxnSp macro="">
      <xdr:nvCxnSpPr>
        <xdr:cNvPr id="24349" name="직선 화살표 연결선 24348"/>
        <xdr:cNvCxnSpPr/>
      </xdr:nvCxnSpPr>
      <xdr:spPr>
        <a:xfrm>
          <a:off x="18456729" y="18486121"/>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62049</xdr:colOff>
      <xdr:row>92</xdr:row>
      <xdr:rowOff>41910</xdr:rowOff>
    </xdr:from>
    <xdr:to>
      <xdr:col>57</xdr:col>
      <xdr:colOff>125367</xdr:colOff>
      <xdr:row>92</xdr:row>
      <xdr:rowOff>156210</xdr:rowOff>
    </xdr:to>
    <xdr:sp macro="" textlink="">
      <xdr:nvSpPr>
        <xdr:cNvPr id="24350" name="89"/>
        <xdr:cNvSpPr/>
      </xdr:nvSpPr>
      <xdr:spPr>
        <a:xfrm>
          <a:off x="18456729" y="18230850"/>
          <a:ext cx="20809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56</xdr:col>
      <xdr:colOff>62049</xdr:colOff>
      <xdr:row>92</xdr:row>
      <xdr:rowOff>99060</xdr:rowOff>
    </xdr:from>
    <xdr:to>
      <xdr:col>56</xdr:col>
      <xdr:colOff>62049</xdr:colOff>
      <xdr:row>92</xdr:row>
      <xdr:rowOff>99060</xdr:rowOff>
    </xdr:to>
    <xdr:cxnSp macro="">
      <xdr:nvCxnSpPr>
        <xdr:cNvPr id="24351" name="직선 화살표 연결선 24350"/>
        <xdr:cNvCxnSpPr/>
      </xdr:nvCxnSpPr>
      <xdr:spPr>
        <a:xfrm>
          <a:off x="18456729" y="182880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62049</xdr:colOff>
      <xdr:row>91</xdr:row>
      <xdr:rowOff>41910</xdr:rowOff>
    </xdr:from>
    <xdr:to>
      <xdr:col>58</xdr:col>
      <xdr:colOff>84000</xdr:colOff>
      <xdr:row>91</xdr:row>
      <xdr:rowOff>156210</xdr:rowOff>
    </xdr:to>
    <xdr:sp macro="" textlink="">
      <xdr:nvSpPr>
        <xdr:cNvPr id="24352" name="88"/>
        <xdr:cNvSpPr/>
      </xdr:nvSpPr>
      <xdr:spPr>
        <a:xfrm>
          <a:off x="18456729" y="18032730"/>
          <a:ext cx="31151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56</xdr:col>
      <xdr:colOff>62049</xdr:colOff>
      <xdr:row>91</xdr:row>
      <xdr:rowOff>99060</xdr:rowOff>
    </xdr:from>
    <xdr:to>
      <xdr:col>56</xdr:col>
      <xdr:colOff>62049</xdr:colOff>
      <xdr:row>91</xdr:row>
      <xdr:rowOff>99060</xdr:rowOff>
    </xdr:to>
    <xdr:cxnSp macro="">
      <xdr:nvCxnSpPr>
        <xdr:cNvPr id="24353" name="직선 화살표 연결선 24352"/>
        <xdr:cNvCxnSpPr/>
      </xdr:nvCxnSpPr>
      <xdr:spPr>
        <a:xfrm>
          <a:off x="18456729" y="180898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20683</xdr:colOff>
      <xdr:row>90</xdr:row>
      <xdr:rowOff>41911</xdr:rowOff>
    </xdr:from>
    <xdr:to>
      <xdr:col>48</xdr:col>
      <xdr:colOff>21953</xdr:colOff>
      <xdr:row>90</xdr:row>
      <xdr:rowOff>156211</xdr:rowOff>
    </xdr:to>
    <xdr:sp macro="" textlink="">
      <xdr:nvSpPr>
        <xdr:cNvPr id="24354" name="87"/>
        <xdr:cNvSpPr/>
      </xdr:nvSpPr>
      <xdr:spPr>
        <a:xfrm>
          <a:off x="17112343" y="17834611"/>
          <a:ext cx="14605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47</xdr:col>
      <xdr:colOff>20683</xdr:colOff>
      <xdr:row>90</xdr:row>
      <xdr:rowOff>99061</xdr:rowOff>
    </xdr:from>
    <xdr:to>
      <xdr:col>48</xdr:col>
      <xdr:colOff>20683</xdr:colOff>
      <xdr:row>90</xdr:row>
      <xdr:rowOff>99061</xdr:rowOff>
    </xdr:to>
    <xdr:cxnSp macro="">
      <xdr:nvCxnSpPr>
        <xdr:cNvPr id="24355" name="직선 화살표 연결선 24354"/>
        <xdr:cNvCxnSpPr/>
      </xdr:nvCxnSpPr>
      <xdr:spPr>
        <a:xfrm>
          <a:off x="17112343" y="17891761"/>
          <a:ext cx="14478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20683</xdr:colOff>
      <xdr:row>89</xdr:row>
      <xdr:rowOff>41911</xdr:rowOff>
    </xdr:from>
    <xdr:to>
      <xdr:col>48</xdr:col>
      <xdr:colOff>21953</xdr:colOff>
      <xdr:row>89</xdr:row>
      <xdr:rowOff>156211</xdr:rowOff>
    </xdr:to>
    <xdr:sp macro="" textlink="">
      <xdr:nvSpPr>
        <xdr:cNvPr id="24356" name="86"/>
        <xdr:cNvSpPr/>
      </xdr:nvSpPr>
      <xdr:spPr>
        <a:xfrm>
          <a:off x="17112343" y="17636491"/>
          <a:ext cx="14605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47</xdr:col>
      <xdr:colOff>20683</xdr:colOff>
      <xdr:row>89</xdr:row>
      <xdr:rowOff>99061</xdr:rowOff>
    </xdr:from>
    <xdr:to>
      <xdr:col>48</xdr:col>
      <xdr:colOff>20683</xdr:colOff>
      <xdr:row>89</xdr:row>
      <xdr:rowOff>99061</xdr:rowOff>
    </xdr:to>
    <xdr:cxnSp macro="">
      <xdr:nvCxnSpPr>
        <xdr:cNvPr id="24357" name="직선 화살표 연결선 24356"/>
        <xdr:cNvCxnSpPr/>
      </xdr:nvCxnSpPr>
      <xdr:spPr>
        <a:xfrm>
          <a:off x="17112343" y="17693641"/>
          <a:ext cx="14478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20683</xdr:colOff>
      <xdr:row>88</xdr:row>
      <xdr:rowOff>41911</xdr:rowOff>
    </xdr:from>
    <xdr:to>
      <xdr:col>48</xdr:col>
      <xdr:colOff>21953</xdr:colOff>
      <xdr:row>88</xdr:row>
      <xdr:rowOff>156211</xdr:rowOff>
    </xdr:to>
    <xdr:sp macro="" textlink="">
      <xdr:nvSpPr>
        <xdr:cNvPr id="24358" name="85"/>
        <xdr:cNvSpPr/>
      </xdr:nvSpPr>
      <xdr:spPr>
        <a:xfrm>
          <a:off x="17112343" y="17438371"/>
          <a:ext cx="14605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47</xdr:col>
      <xdr:colOff>20683</xdr:colOff>
      <xdr:row>88</xdr:row>
      <xdr:rowOff>99061</xdr:rowOff>
    </xdr:from>
    <xdr:to>
      <xdr:col>47</xdr:col>
      <xdr:colOff>20683</xdr:colOff>
      <xdr:row>88</xdr:row>
      <xdr:rowOff>99061</xdr:rowOff>
    </xdr:to>
    <xdr:cxnSp macro="">
      <xdr:nvCxnSpPr>
        <xdr:cNvPr id="24359" name="직선 화살표 연결선 24358"/>
        <xdr:cNvCxnSpPr/>
      </xdr:nvCxnSpPr>
      <xdr:spPr>
        <a:xfrm>
          <a:off x="17112343" y="17495521"/>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20683</xdr:colOff>
      <xdr:row>87</xdr:row>
      <xdr:rowOff>41910</xdr:rowOff>
    </xdr:from>
    <xdr:to>
      <xdr:col>47</xdr:col>
      <xdr:colOff>21953</xdr:colOff>
      <xdr:row>87</xdr:row>
      <xdr:rowOff>156210</xdr:rowOff>
    </xdr:to>
    <xdr:sp macro="" textlink="">
      <xdr:nvSpPr>
        <xdr:cNvPr id="24360" name="84"/>
        <xdr:cNvSpPr/>
      </xdr:nvSpPr>
      <xdr:spPr>
        <a:xfrm>
          <a:off x="16967563" y="17240250"/>
          <a:ext cx="14605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46</xdr:col>
      <xdr:colOff>20683</xdr:colOff>
      <xdr:row>87</xdr:row>
      <xdr:rowOff>99060</xdr:rowOff>
    </xdr:from>
    <xdr:to>
      <xdr:col>46</xdr:col>
      <xdr:colOff>20683</xdr:colOff>
      <xdr:row>87</xdr:row>
      <xdr:rowOff>99060</xdr:rowOff>
    </xdr:to>
    <xdr:cxnSp macro="">
      <xdr:nvCxnSpPr>
        <xdr:cNvPr id="24361" name="직선 화살표 연결선 24360"/>
        <xdr:cNvCxnSpPr/>
      </xdr:nvCxnSpPr>
      <xdr:spPr>
        <a:xfrm>
          <a:off x="16967563" y="172974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20683</xdr:colOff>
      <xdr:row>86</xdr:row>
      <xdr:rowOff>41910</xdr:rowOff>
    </xdr:from>
    <xdr:to>
      <xdr:col>48</xdr:col>
      <xdr:colOff>21953</xdr:colOff>
      <xdr:row>86</xdr:row>
      <xdr:rowOff>156210</xdr:rowOff>
    </xdr:to>
    <xdr:sp macro="" textlink="">
      <xdr:nvSpPr>
        <xdr:cNvPr id="24362" name="83"/>
        <xdr:cNvSpPr/>
      </xdr:nvSpPr>
      <xdr:spPr>
        <a:xfrm>
          <a:off x="16967563" y="17042130"/>
          <a:ext cx="29083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46</xdr:col>
      <xdr:colOff>20683</xdr:colOff>
      <xdr:row>86</xdr:row>
      <xdr:rowOff>99060</xdr:rowOff>
    </xdr:from>
    <xdr:to>
      <xdr:col>46</xdr:col>
      <xdr:colOff>20683</xdr:colOff>
      <xdr:row>86</xdr:row>
      <xdr:rowOff>99060</xdr:rowOff>
    </xdr:to>
    <xdr:cxnSp macro="">
      <xdr:nvCxnSpPr>
        <xdr:cNvPr id="24363" name="직선 화살표 연결선 24362"/>
        <xdr:cNvCxnSpPr/>
      </xdr:nvCxnSpPr>
      <xdr:spPr>
        <a:xfrm>
          <a:off x="16967563" y="170992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103414</xdr:colOff>
      <xdr:row>85</xdr:row>
      <xdr:rowOff>41911</xdr:rowOff>
    </xdr:from>
    <xdr:to>
      <xdr:col>50</xdr:col>
      <xdr:colOff>21952</xdr:colOff>
      <xdr:row>85</xdr:row>
      <xdr:rowOff>156211</xdr:rowOff>
    </xdr:to>
    <xdr:sp macro="" textlink="">
      <xdr:nvSpPr>
        <xdr:cNvPr id="24364" name="82"/>
        <xdr:cNvSpPr/>
      </xdr:nvSpPr>
      <xdr:spPr>
        <a:xfrm>
          <a:off x="17195074" y="16844011"/>
          <a:ext cx="35287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47</xdr:col>
      <xdr:colOff>103414</xdr:colOff>
      <xdr:row>85</xdr:row>
      <xdr:rowOff>99061</xdr:rowOff>
    </xdr:from>
    <xdr:to>
      <xdr:col>47</xdr:col>
      <xdr:colOff>103414</xdr:colOff>
      <xdr:row>85</xdr:row>
      <xdr:rowOff>99061</xdr:rowOff>
    </xdr:to>
    <xdr:cxnSp macro="">
      <xdr:nvCxnSpPr>
        <xdr:cNvPr id="24365" name="직선 화살표 연결선 24364"/>
        <xdr:cNvCxnSpPr/>
      </xdr:nvCxnSpPr>
      <xdr:spPr>
        <a:xfrm>
          <a:off x="17195074" y="16901161"/>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103414</xdr:colOff>
      <xdr:row>84</xdr:row>
      <xdr:rowOff>41911</xdr:rowOff>
    </xdr:from>
    <xdr:to>
      <xdr:col>50</xdr:col>
      <xdr:colOff>21952</xdr:colOff>
      <xdr:row>84</xdr:row>
      <xdr:rowOff>156211</xdr:rowOff>
    </xdr:to>
    <xdr:sp macro="" textlink="">
      <xdr:nvSpPr>
        <xdr:cNvPr id="24366" name="81"/>
        <xdr:cNvSpPr/>
      </xdr:nvSpPr>
      <xdr:spPr>
        <a:xfrm>
          <a:off x="17195074" y="16645891"/>
          <a:ext cx="35287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47</xdr:col>
      <xdr:colOff>103414</xdr:colOff>
      <xdr:row>84</xdr:row>
      <xdr:rowOff>99061</xdr:rowOff>
    </xdr:from>
    <xdr:to>
      <xdr:col>47</xdr:col>
      <xdr:colOff>103414</xdr:colOff>
      <xdr:row>84</xdr:row>
      <xdr:rowOff>99061</xdr:rowOff>
    </xdr:to>
    <xdr:cxnSp macro="">
      <xdr:nvCxnSpPr>
        <xdr:cNvPr id="24367" name="직선 화살표 연결선 24366"/>
        <xdr:cNvCxnSpPr/>
      </xdr:nvCxnSpPr>
      <xdr:spPr>
        <a:xfrm>
          <a:off x="17195074" y="16703041"/>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103414</xdr:colOff>
      <xdr:row>83</xdr:row>
      <xdr:rowOff>41911</xdr:rowOff>
    </xdr:from>
    <xdr:to>
      <xdr:col>50</xdr:col>
      <xdr:colOff>21952</xdr:colOff>
      <xdr:row>83</xdr:row>
      <xdr:rowOff>156211</xdr:rowOff>
    </xdr:to>
    <xdr:sp macro="" textlink="">
      <xdr:nvSpPr>
        <xdr:cNvPr id="24368" name="80"/>
        <xdr:cNvSpPr/>
      </xdr:nvSpPr>
      <xdr:spPr>
        <a:xfrm>
          <a:off x="17195074" y="16447771"/>
          <a:ext cx="35287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47</xdr:col>
      <xdr:colOff>103414</xdr:colOff>
      <xdr:row>83</xdr:row>
      <xdr:rowOff>99061</xdr:rowOff>
    </xdr:from>
    <xdr:to>
      <xdr:col>47</xdr:col>
      <xdr:colOff>103414</xdr:colOff>
      <xdr:row>83</xdr:row>
      <xdr:rowOff>99061</xdr:rowOff>
    </xdr:to>
    <xdr:cxnSp macro="">
      <xdr:nvCxnSpPr>
        <xdr:cNvPr id="24369" name="직선 화살표 연결선 24368"/>
        <xdr:cNvCxnSpPr/>
      </xdr:nvCxnSpPr>
      <xdr:spPr>
        <a:xfrm>
          <a:off x="17195074" y="16504921"/>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20683</xdr:colOff>
      <xdr:row>82</xdr:row>
      <xdr:rowOff>41910</xdr:rowOff>
    </xdr:from>
    <xdr:to>
      <xdr:col>48</xdr:col>
      <xdr:colOff>21953</xdr:colOff>
      <xdr:row>82</xdr:row>
      <xdr:rowOff>156210</xdr:rowOff>
    </xdr:to>
    <xdr:sp macro="" textlink="">
      <xdr:nvSpPr>
        <xdr:cNvPr id="24370" name="79"/>
        <xdr:cNvSpPr/>
      </xdr:nvSpPr>
      <xdr:spPr>
        <a:xfrm>
          <a:off x="17112343" y="16249650"/>
          <a:ext cx="14605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47</xdr:col>
      <xdr:colOff>20683</xdr:colOff>
      <xdr:row>82</xdr:row>
      <xdr:rowOff>99060</xdr:rowOff>
    </xdr:from>
    <xdr:to>
      <xdr:col>47</xdr:col>
      <xdr:colOff>20683</xdr:colOff>
      <xdr:row>82</xdr:row>
      <xdr:rowOff>99060</xdr:rowOff>
    </xdr:to>
    <xdr:cxnSp macro="">
      <xdr:nvCxnSpPr>
        <xdr:cNvPr id="24371" name="직선 화살표 연결선 24370"/>
        <xdr:cNvCxnSpPr/>
      </xdr:nvCxnSpPr>
      <xdr:spPr>
        <a:xfrm>
          <a:off x="17112343" y="163068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20683</xdr:colOff>
      <xdr:row>81</xdr:row>
      <xdr:rowOff>41910</xdr:rowOff>
    </xdr:from>
    <xdr:to>
      <xdr:col>48</xdr:col>
      <xdr:colOff>21953</xdr:colOff>
      <xdr:row>81</xdr:row>
      <xdr:rowOff>156210</xdr:rowOff>
    </xdr:to>
    <xdr:sp macro="" textlink="">
      <xdr:nvSpPr>
        <xdr:cNvPr id="24372" name="78"/>
        <xdr:cNvSpPr/>
      </xdr:nvSpPr>
      <xdr:spPr>
        <a:xfrm>
          <a:off x="17112343" y="16051530"/>
          <a:ext cx="14605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47</xdr:col>
      <xdr:colOff>20683</xdr:colOff>
      <xdr:row>81</xdr:row>
      <xdr:rowOff>99060</xdr:rowOff>
    </xdr:from>
    <xdr:to>
      <xdr:col>47</xdr:col>
      <xdr:colOff>20683</xdr:colOff>
      <xdr:row>81</xdr:row>
      <xdr:rowOff>99060</xdr:rowOff>
    </xdr:to>
    <xdr:cxnSp macro="">
      <xdr:nvCxnSpPr>
        <xdr:cNvPr id="24373" name="직선 화살표 연결선 24372"/>
        <xdr:cNvCxnSpPr/>
      </xdr:nvCxnSpPr>
      <xdr:spPr>
        <a:xfrm>
          <a:off x="17112343" y="161086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20683</xdr:colOff>
      <xdr:row>80</xdr:row>
      <xdr:rowOff>41911</xdr:rowOff>
    </xdr:from>
    <xdr:to>
      <xdr:col>47</xdr:col>
      <xdr:colOff>21953</xdr:colOff>
      <xdr:row>80</xdr:row>
      <xdr:rowOff>156211</xdr:rowOff>
    </xdr:to>
    <xdr:sp macro="" textlink="">
      <xdr:nvSpPr>
        <xdr:cNvPr id="24374" name="77"/>
        <xdr:cNvSpPr/>
      </xdr:nvSpPr>
      <xdr:spPr>
        <a:xfrm>
          <a:off x="16967563" y="15853411"/>
          <a:ext cx="14605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46</xdr:col>
      <xdr:colOff>20683</xdr:colOff>
      <xdr:row>80</xdr:row>
      <xdr:rowOff>99061</xdr:rowOff>
    </xdr:from>
    <xdr:to>
      <xdr:col>46</xdr:col>
      <xdr:colOff>20683</xdr:colOff>
      <xdr:row>80</xdr:row>
      <xdr:rowOff>99061</xdr:rowOff>
    </xdr:to>
    <xdr:cxnSp macro="">
      <xdr:nvCxnSpPr>
        <xdr:cNvPr id="24375" name="직선 화살표 연결선 24374"/>
        <xdr:cNvCxnSpPr/>
      </xdr:nvCxnSpPr>
      <xdr:spPr>
        <a:xfrm>
          <a:off x="16967563" y="15910561"/>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20683</xdr:colOff>
      <xdr:row>79</xdr:row>
      <xdr:rowOff>41911</xdr:rowOff>
    </xdr:from>
    <xdr:to>
      <xdr:col>48</xdr:col>
      <xdr:colOff>21953</xdr:colOff>
      <xdr:row>79</xdr:row>
      <xdr:rowOff>156211</xdr:rowOff>
    </xdr:to>
    <xdr:sp macro="" textlink="">
      <xdr:nvSpPr>
        <xdr:cNvPr id="24376" name="76"/>
        <xdr:cNvSpPr/>
      </xdr:nvSpPr>
      <xdr:spPr>
        <a:xfrm>
          <a:off x="16967563" y="15655291"/>
          <a:ext cx="29083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46</xdr:col>
      <xdr:colOff>20683</xdr:colOff>
      <xdr:row>79</xdr:row>
      <xdr:rowOff>99061</xdr:rowOff>
    </xdr:from>
    <xdr:to>
      <xdr:col>46</xdr:col>
      <xdr:colOff>20683</xdr:colOff>
      <xdr:row>79</xdr:row>
      <xdr:rowOff>99061</xdr:rowOff>
    </xdr:to>
    <xdr:cxnSp macro="">
      <xdr:nvCxnSpPr>
        <xdr:cNvPr id="24377" name="직선 화살표 연결선 24376"/>
        <xdr:cNvCxnSpPr/>
      </xdr:nvCxnSpPr>
      <xdr:spPr>
        <a:xfrm>
          <a:off x="16967563" y="15712441"/>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20682</xdr:colOff>
      <xdr:row>78</xdr:row>
      <xdr:rowOff>41911</xdr:rowOff>
    </xdr:from>
    <xdr:to>
      <xdr:col>46</xdr:col>
      <xdr:colOff>21952</xdr:colOff>
      <xdr:row>78</xdr:row>
      <xdr:rowOff>156211</xdr:rowOff>
    </xdr:to>
    <xdr:sp macro="" textlink="">
      <xdr:nvSpPr>
        <xdr:cNvPr id="24378" name="75"/>
        <xdr:cNvSpPr/>
      </xdr:nvSpPr>
      <xdr:spPr>
        <a:xfrm>
          <a:off x="16822782" y="15457171"/>
          <a:ext cx="14605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45</xdr:col>
      <xdr:colOff>20682</xdr:colOff>
      <xdr:row>78</xdr:row>
      <xdr:rowOff>99061</xdr:rowOff>
    </xdr:from>
    <xdr:to>
      <xdr:col>46</xdr:col>
      <xdr:colOff>20683</xdr:colOff>
      <xdr:row>78</xdr:row>
      <xdr:rowOff>99061</xdr:rowOff>
    </xdr:to>
    <xdr:cxnSp macro="">
      <xdr:nvCxnSpPr>
        <xdr:cNvPr id="24379" name="직선 화살표 연결선 24378"/>
        <xdr:cNvCxnSpPr/>
      </xdr:nvCxnSpPr>
      <xdr:spPr>
        <a:xfrm>
          <a:off x="16822782" y="15514321"/>
          <a:ext cx="14478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20682</xdr:colOff>
      <xdr:row>77</xdr:row>
      <xdr:rowOff>41910</xdr:rowOff>
    </xdr:from>
    <xdr:to>
      <xdr:col>46</xdr:col>
      <xdr:colOff>21952</xdr:colOff>
      <xdr:row>77</xdr:row>
      <xdr:rowOff>156210</xdr:rowOff>
    </xdr:to>
    <xdr:sp macro="" textlink="">
      <xdr:nvSpPr>
        <xdr:cNvPr id="24380" name="74"/>
        <xdr:cNvSpPr/>
      </xdr:nvSpPr>
      <xdr:spPr>
        <a:xfrm>
          <a:off x="16822782" y="15259050"/>
          <a:ext cx="14605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45</xdr:col>
      <xdr:colOff>20682</xdr:colOff>
      <xdr:row>77</xdr:row>
      <xdr:rowOff>99060</xdr:rowOff>
    </xdr:from>
    <xdr:to>
      <xdr:col>46</xdr:col>
      <xdr:colOff>20683</xdr:colOff>
      <xdr:row>77</xdr:row>
      <xdr:rowOff>99060</xdr:rowOff>
    </xdr:to>
    <xdr:cxnSp macro="">
      <xdr:nvCxnSpPr>
        <xdr:cNvPr id="24381" name="직선 화살표 연결선 24380"/>
        <xdr:cNvCxnSpPr/>
      </xdr:nvCxnSpPr>
      <xdr:spPr>
        <a:xfrm>
          <a:off x="16822782" y="15316200"/>
          <a:ext cx="14478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20682</xdr:colOff>
      <xdr:row>76</xdr:row>
      <xdr:rowOff>41910</xdr:rowOff>
    </xdr:from>
    <xdr:to>
      <xdr:col>50</xdr:col>
      <xdr:colOff>21952</xdr:colOff>
      <xdr:row>76</xdr:row>
      <xdr:rowOff>156210</xdr:rowOff>
    </xdr:to>
    <xdr:sp macro="" textlink="">
      <xdr:nvSpPr>
        <xdr:cNvPr id="24382" name="73"/>
        <xdr:cNvSpPr/>
      </xdr:nvSpPr>
      <xdr:spPr>
        <a:xfrm>
          <a:off x="16822782" y="15060930"/>
          <a:ext cx="72517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45</xdr:col>
      <xdr:colOff>20682</xdr:colOff>
      <xdr:row>76</xdr:row>
      <xdr:rowOff>99060</xdr:rowOff>
    </xdr:from>
    <xdr:to>
      <xdr:col>45</xdr:col>
      <xdr:colOff>136506</xdr:colOff>
      <xdr:row>76</xdr:row>
      <xdr:rowOff>99060</xdr:rowOff>
    </xdr:to>
    <xdr:cxnSp macro="">
      <xdr:nvCxnSpPr>
        <xdr:cNvPr id="24383" name="직선 화살표 연결선 24382"/>
        <xdr:cNvCxnSpPr/>
      </xdr:nvCxnSpPr>
      <xdr:spPr>
        <a:xfrm>
          <a:off x="16822782" y="15118080"/>
          <a:ext cx="11582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62049</xdr:colOff>
      <xdr:row>75</xdr:row>
      <xdr:rowOff>41911</xdr:rowOff>
    </xdr:from>
    <xdr:to>
      <xdr:col>46</xdr:col>
      <xdr:colOff>42635</xdr:colOff>
      <xdr:row>75</xdr:row>
      <xdr:rowOff>156211</xdr:rowOff>
    </xdr:to>
    <xdr:sp macro="" textlink="">
      <xdr:nvSpPr>
        <xdr:cNvPr id="24384" name="72"/>
        <xdr:cNvSpPr/>
      </xdr:nvSpPr>
      <xdr:spPr>
        <a:xfrm>
          <a:off x="16864149" y="14862811"/>
          <a:ext cx="12536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45</xdr:col>
      <xdr:colOff>62049</xdr:colOff>
      <xdr:row>75</xdr:row>
      <xdr:rowOff>99061</xdr:rowOff>
    </xdr:from>
    <xdr:to>
      <xdr:col>46</xdr:col>
      <xdr:colOff>41365</xdr:colOff>
      <xdr:row>75</xdr:row>
      <xdr:rowOff>99061</xdr:rowOff>
    </xdr:to>
    <xdr:cxnSp macro="">
      <xdr:nvCxnSpPr>
        <xdr:cNvPr id="24385" name="직선 화살표 연결선 24384"/>
        <xdr:cNvCxnSpPr/>
      </xdr:nvCxnSpPr>
      <xdr:spPr>
        <a:xfrm>
          <a:off x="16864149" y="14919961"/>
          <a:ext cx="12409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20682</xdr:colOff>
      <xdr:row>74</xdr:row>
      <xdr:rowOff>41911</xdr:rowOff>
    </xdr:from>
    <xdr:to>
      <xdr:col>45</xdr:col>
      <xdr:colOff>84001</xdr:colOff>
      <xdr:row>74</xdr:row>
      <xdr:rowOff>156211</xdr:rowOff>
    </xdr:to>
    <xdr:sp macro="" textlink="">
      <xdr:nvSpPr>
        <xdr:cNvPr id="24386" name="71"/>
        <xdr:cNvSpPr/>
      </xdr:nvSpPr>
      <xdr:spPr>
        <a:xfrm>
          <a:off x="16822782" y="14664691"/>
          <a:ext cx="6331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45</xdr:col>
      <xdr:colOff>20682</xdr:colOff>
      <xdr:row>74</xdr:row>
      <xdr:rowOff>99061</xdr:rowOff>
    </xdr:from>
    <xdr:to>
      <xdr:col>45</xdr:col>
      <xdr:colOff>82731</xdr:colOff>
      <xdr:row>74</xdr:row>
      <xdr:rowOff>99061</xdr:rowOff>
    </xdr:to>
    <xdr:cxnSp macro="">
      <xdr:nvCxnSpPr>
        <xdr:cNvPr id="24387" name="직선 화살표 연결선 24386"/>
        <xdr:cNvCxnSpPr/>
      </xdr:nvCxnSpPr>
      <xdr:spPr>
        <a:xfrm>
          <a:off x="16822782" y="14721841"/>
          <a:ext cx="6204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20682</xdr:colOff>
      <xdr:row>73</xdr:row>
      <xdr:rowOff>41911</xdr:rowOff>
    </xdr:from>
    <xdr:to>
      <xdr:col>45</xdr:col>
      <xdr:colOff>42636</xdr:colOff>
      <xdr:row>73</xdr:row>
      <xdr:rowOff>156211</xdr:rowOff>
    </xdr:to>
    <xdr:sp macro="" textlink="">
      <xdr:nvSpPr>
        <xdr:cNvPr id="24388" name="70"/>
        <xdr:cNvSpPr/>
      </xdr:nvSpPr>
      <xdr:spPr>
        <a:xfrm>
          <a:off x="16678002" y="14466571"/>
          <a:ext cx="16673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44</xdr:col>
      <xdr:colOff>20682</xdr:colOff>
      <xdr:row>73</xdr:row>
      <xdr:rowOff>99061</xdr:rowOff>
    </xdr:from>
    <xdr:to>
      <xdr:col>45</xdr:col>
      <xdr:colOff>41366</xdr:colOff>
      <xdr:row>73</xdr:row>
      <xdr:rowOff>99061</xdr:rowOff>
    </xdr:to>
    <xdr:cxnSp macro="">
      <xdr:nvCxnSpPr>
        <xdr:cNvPr id="24389" name="직선 화살표 연결선 24388"/>
        <xdr:cNvCxnSpPr/>
      </xdr:nvCxnSpPr>
      <xdr:spPr>
        <a:xfrm>
          <a:off x="16678002" y="14523721"/>
          <a:ext cx="16546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20683</xdr:colOff>
      <xdr:row>72</xdr:row>
      <xdr:rowOff>41910</xdr:rowOff>
    </xdr:from>
    <xdr:to>
      <xdr:col>44</xdr:col>
      <xdr:colOff>42636</xdr:colOff>
      <xdr:row>72</xdr:row>
      <xdr:rowOff>156210</xdr:rowOff>
    </xdr:to>
    <xdr:sp macro="" textlink="">
      <xdr:nvSpPr>
        <xdr:cNvPr id="24390" name="69"/>
        <xdr:cNvSpPr/>
      </xdr:nvSpPr>
      <xdr:spPr>
        <a:xfrm>
          <a:off x="16533223" y="14268450"/>
          <a:ext cx="16673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43</xdr:col>
      <xdr:colOff>20683</xdr:colOff>
      <xdr:row>72</xdr:row>
      <xdr:rowOff>99060</xdr:rowOff>
    </xdr:from>
    <xdr:to>
      <xdr:col>44</xdr:col>
      <xdr:colOff>41366</xdr:colOff>
      <xdr:row>72</xdr:row>
      <xdr:rowOff>99060</xdr:rowOff>
    </xdr:to>
    <xdr:cxnSp macro="">
      <xdr:nvCxnSpPr>
        <xdr:cNvPr id="24391" name="직선 화살표 연결선 24390"/>
        <xdr:cNvCxnSpPr/>
      </xdr:nvCxnSpPr>
      <xdr:spPr>
        <a:xfrm>
          <a:off x="16533223" y="14325600"/>
          <a:ext cx="16546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20683</xdr:colOff>
      <xdr:row>71</xdr:row>
      <xdr:rowOff>41910</xdr:rowOff>
    </xdr:from>
    <xdr:to>
      <xdr:col>46</xdr:col>
      <xdr:colOff>42635</xdr:colOff>
      <xdr:row>71</xdr:row>
      <xdr:rowOff>156210</xdr:rowOff>
    </xdr:to>
    <xdr:sp macro="" textlink="">
      <xdr:nvSpPr>
        <xdr:cNvPr id="24392" name="68"/>
        <xdr:cNvSpPr/>
      </xdr:nvSpPr>
      <xdr:spPr>
        <a:xfrm>
          <a:off x="16533223" y="14070330"/>
          <a:ext cx="45629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43</xdr:col>
      <xdr:colOff>20683</xdr:colOff>
      <xdr:row>71</xdr:row>
      <xdr:rowOff>99060</xdr:rowOff>
    </xdr:from>
    <xdr:to>
      <xdr:col>46</xdr:col>
      <xdr:colOff>41365</xdr:colOff>
      <xdr:row>71</xdr:row>
      <xdr:rowOff>99060</xdr:rowOff>
    </xdr:to>
    <xdr:cxnSp macro="">
      <xdr:nvCxnSpPr>
        <xdr:cNvPr id="24393" name="직선 화살표 연결선 24392"/>
        <xdr:cNvCxnSpPr/>
      </xdr:nvCxnSpPr>
      <xdr:spPr>
        <a:xfrm>
          <a:off x="16533223" y="14127480"/>
          <a:ext cx="45502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20682</xdr:colOff>
      <xdr:row>70</xdr:row>
      <xdr:rowOff>41911</xdr:rowOff>
    </xdr:from>
    <xdr:to>
      <xdr:col>46</xdr:col>
      <xdr:colOff>42635</xdr:colOff>
      <xdr:row>70</xdr:row>
      <xdr:rowOff>156211</xdr:rowOff>
    </xdr:to>
    <xdr:sp macro="" textlink="">
      <xdr:nvSpPr>
        <xdr:cNvPr id="24394" name="67"/>
        <xdr:cNvSpPr/>
      </xdr:nvSpPr>
      <xdr:spPr>
        <a:xfrm>
          <a:off x="16822782" y="13872211"/>
          <a:ext cx="16673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45</xdr:col>
      <xdr:colOff>20682</xdr:colOff>
      <xdr:row>70</xdr:row>
      <xdr:rowOff>99061</xdr:rowOff>
    </xdr:from>
    <xdr:to>
      <xdr:col>46</xdr:col>
      <xdr:colOff>41365</xdr:colOff>
      <xdr:row>70</xdr:row>
      <xdr:rowOff>99061</xdr:rowOff>
    </xdr:to>
    <xdr:cxnSp macro="">
      <xdr:nvCxnSpPr>
        <xdr:cNvPr id="24395" name="직선 화살표 연결선 24394"/>
        <xdr:cNvCxnSpPr/>
      </xdr:nvCxnSpPr>
      <xdr:spPr>
        <a:xfrm>
          <a:off x="16822782" y="13929361"/>
          <a:ext cx="16546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20682</xdr:colOff>
      <xdr:row>69</xdr:row>
      <xdr:rowOff>41911</xdr:rowOff>
    </xdr:from>
    <xdr:to>
      <xdr:col>46</xdr:col>
      <xdr:colOff>42635</xdr:colOff>
      <xdr:row>69</xdr:row>
      <xdr:rowOff>156211</xdr:rowOff>
    </xdr:to>
    <xdr:sp macro="" textlink="">
      <xdr:nvSpPr>
        <xdr:cNvPr id="24396" name="66"/>
        <xdr:cNvSpPr/>
      </xdr:nvSpPr>
      <xdr:spPr>
        <a:xfrm>
          <a:off x="16822782" y="13674091"/>
          <a:ext cx="16673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45</xdr:col>
      <xdr:colOff>20682</xdr:colOff>
      <xdr:row>69</xdr:row>
      <xdr:rowOff>99061</xdr:rowOff>
    </xdr:from>
    <xdr:to>
      <xdr:col>46</xdr:col>
      <xdr:colOff>41365</xdr:colOff>
      <xdr:row>69</xdr:row>
      <xdr:rowOff>99061</xdr:rowOff>
    </xdr:to>
    <xdr:cxnSp macro="">
      <xdr:nvCxnSpPr>
        <xdr:cNvPr id="24397" name="직선 화살표 연결선 24396"/>
        <xdr:cNvCxnSpPr/>
      </xdr:nvCxnSpPr>
      <xdr:spPr>
        <a:xfrm>
          <a:off x="16822782" y="13731241"/>
          <a:ext cx="16546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41366</xdr:colOff>
      <xdr:row>68</xdr:row>
      <xdr:rowOff>41911</xdr:rowOff>
    </xdr:from>
    <xdr:to>
      <xdr:col>48</xdr:col>
      <xdr:colOff>42636</xdr:colOff>
      <xdr:row>68</xdr:row>
      <xdr:rowOff>156211</xdr:rowOff>
    </xdr:to>
    <xdr:sp macro="" textlink="">
      <xdr:nvSpPr>
        <xdr:cNvPr id="24398" name="65"/>
        <xdr:cNvSpPr/>
      </xdr:nvSpPr>
      <xdr:spPr>
        <a:xfrm>
          <a:off x="17133026" y="13475971"/>
          <a:ext cx="14605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47</xdr:col>
      <xdr:colOff>41366</xdr:colOff>
      <xdr:row>68</xdr:row>
      <xdr:rowOff>99061</xdr:rowOff>
    </xdr:from>
    <xdr:to>
      <xdr:col>47</xdr:col>
      <xdr:colOff>41366</xdr:colOff>
      <xdr:row>68</xdr:row>
      <xdr:rowOff>99061</xdr:rowOff>
    </xdr:to>
    <xdr:cxnSp macro="">
      <xdr:nvCxnSpPr>
        <xdr:cNvPr id="24399" name="직선 화살표 연결선 24398"/>
        <xdr:cNvCxnSpPr/>
      </xdr:nvCxnSpPr>
      <xdr:spPr>
        <a:xfrm>
          <a:off x="17133026" y="13533121"/>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20683</xdr:colOff>
      <xdr:row>67</xdr:row>
      <xdr:rowOff>41910</xdr:rowOff>
    </xdr:from>
    <xdr:to>
      <xdr:col>47</xdr:col>
      <xdr:colOff>42635</xdr:colOff>
      <xdr:row>67</xdr:row>
      <xdr:rowOff>156210</xdr:rowOff>
    </xdr:to>
    <xdr:sp macro="" textlink="">
      <xdr:nvSpPr>
        <xdr:cNvPr id="24400" name="64"/>
        <xdr:cNvSpPr/>
      </xdr:nvSpPr>
      <xdr:spPr>
        <a:xfrm>
          <a:off x="17112343" y="13277850"/>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47</xdr:col>
      <xdr:colOff>20683</xdr:colOff>
      <xdr:row>67</xdr:row>
      <xdr:rowOff>99060</xdr:rowOff>
    </xdr:from>
    <xdr:to>
      <xdr:col>47</xdr:col>
      <xdr:colOff>20683</xdr:colOff>
      <xdr:row>67</xdr:row>
      <xdr:rowOff>99060</xdr:rowOff>
    </xdr:to>
    <xdr:cxnSp macro="">
      <xdr:nvCxnSpPr>
        <xdr:cNvPr id="24401" name="직선 화살표 연결선 24400"/>
        <xdr:cNvCxnSpPr/>
      </xdr:nvCxnSpPr>
      <xdr:spPr>
        <a:xfrm>
          <a:off x="17112343" y="133350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103414</xdr:colOff>
      <xdr:row>66</xdr:row>
      <xdr:rowOff>41910</xdr:rowOff>
    </xdr:from>
    <xdr:to>
      <xdr:col>45</xdr:col>
      <xdr:colOff>42636</xdr:colOff>
      <xdr:row>66</xdr:row>
      <xdr:rowOff>156210</xdr:rowOff>
    </xdr:to>
    <xdr:sp macro="" textlink="">
      <xdr:nvSpPr>
        <xdr:cNvPr id="24402" name="63"/>
        <xdr:cNvSpPr/>
      </xdr:nvSpPr>
      <xdr:spPr>
        <a:xfrm>
          <a:off x="16760734" y="13079730"/>
          <a:ext cx="8400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44</xdr:col>
      <xdr:colOff>103414</xdr:colOff>
      <xdr:row>66</xdr:row>
      <xdr:rowOff>99060</xdr:rowOff>
    </xdr:from>
    <xdr:to>
      <xdr:col>45</xdr:col>
      <xdr:colOff>41366</xdr:colOff>
      <xdr:row>66</xdr:row>
      <xdr:rowOff>99060</xdr:rowOff>
    </xdr:to>
    <xdr:cxnSp macro="">
      <xdr:nvCxnSpPr>
        <xdr:cNvPr id="24403" name="직선 화살표 연결선 24402"/>
        <xdr:cNvCxnSpPr/>
      </xdr:nvCxnSpPr>
      <xdr:spPr>
        <a:xfrm>
          <a:off x="16760734" y="13136880"/>
          <a:ext cx="8273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103414</xdr:colOff>
      <xdr:row>65</xdr:row>
      <xdr:rowOff>41910</xdr:rowOff>
    </xdr:from>
    <xdr:to>
      <xdr:col>48</xdr:col>
      <xdr:colOff>42636</xdr:colOff>
      <xdr:row>65</xdr:row>
      <xdr:rowOff>156210</xdr:rowOff>
    </xdr:to>
    <xdr:sp macro="" textlink="">
      <xdr:nvSpPr>
        <xdr:cNvPr id="24404" name="62"/>
        <xdr:cNvSpPr/>
      </xdr:nvSpPr>
      <xdr:spPr>
        <a:xfrm>
          <a:off x="16760734" y="12881610"/>
          <a:ext cx="51834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44</xdr:col>
      <xdr:colOff>103414</xdr:colOff>
      <xdr:row>65</xdr:row>
      <xdr:rowOff>99060</xdr:rowOff>
    </xdr:from>
    <xdr:to>
      <xdr:col>45</xdr:col>
      <xdr:colOff>106369</xdr:colOff>
      <xdr:row>65</xdr:row>
      <xdr:rowOff>99060</xdr:rowOff>
    </xdr:to>
    <xdr:cxnSp macro="">
      <xdr:nvCxnSpPr>
        <xdr:cNvPr id="24405" name="직선 화살표 연결선 24404"/>
        <xdr:cNvCxnSpPr/>
      </xdr:nvCxnSpPr>
      <xdr:spPr>
        <a:xfrm>
          <a:off x="16760734" y="12938760"/>
          <a:ext cx="14773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82731</xdr:colOff>
      <xdr:row>64</xdr:row>
      <xdr:rowOff>41910</xdr:rowOff>
    </xdr:from>
    <xdr:to>
      <xdr:col>45</xdr:col>
      <xdr:colOff>42636</xdr:colOff>
      <xdr:row>64</xdr:row>
      <xdr:rowOff>156210</xdr:rowOff>
    </xdr:to>
    <xdr:sp macro="" textlink="">
      <xdr:nvSpPr>
        <xdr:cNvPr id="24406" name="61"/>
        <xdr:cNvSpPr/>
      </xdr:nvSpPr>
      <xdr:spPr>
        <a:xfrm>
          <a:off x="16740051" y="12683490"/>
          <a:ext cx="10468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44</xdr:col>
      <xdr:colOff>82731</xdr:colOff>
      <xdr:row>64</xdr:row>
      <xdr:rowOff>99060</xdr:rowOff>
    </xdr:from>
    <xdr:to>
      <xdr:col>45</xdr:col>
      <xdr:colOff>41366</xdr:colOff>
      <xdr:row>64</xdr:row>
      <xdr:rowOff>99060</xdr:rowOff>
    </xdr:to>
    <xdr:cxnSp macro="">
      <xdr:nvCxnSpPr>
        <xdr:cNvPr id="24407" name="직선 화살표 연결선 24406"/>
        <xdr:cNvCxnSpPr/>
      </xdr:nvCxnSpPr>
      <xdr:spPr>
        <a:xfrm>
          <a:off x="16740051" y="12740640"/>
          <a:ext cx="10341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20682</xdr:colOff>
      <xdr:row>63</xdr:row>
      <xdr:rowOff>41910</xdr:rowOff>
    </xdr:from>
    <xdr:to>
      <xdr:col>44</xdr:col>
      <xdr:colOff>104683</xdr:colOff>
      <xdr:row>63</xdr:row>
      <xdr:rowOff>156210</xdr:rowOff>
    </xdr:to>
    <xdr:sp macro="" textlink="">
      <xdr:nvSpPr>
        <xdr:cNvPr id="24408" name="60"/>
        <xdr:cNvSpPr/>
      </xdr:nvSpPr>
      <xdr:spPr>
        <a:xfrm>
          <a:off x="16678002" y="12485370"/>
          <a:ext cx="8400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44</xdr:col>
      <xdr:colOff>20682</xdr:colOff>
      <xdr:row>63</xdr:row>
      <xdr:rowOff>99060</xdr:rowOff>
    </xdr:from>
    <xdr:to>
      <xdr:col>44</xdr:col>
      <xdr:colOff>103414</xdr:colOff>
      <xdr:row>63</xdr:row>
      <xdr:rowOff>99060</xdr:rowOff>
    </xdr:to>
    <xdr:cxnSp macro="">
      <xdr:nvCxnSpPr>
        <xdr:cNvPr id="24409" name="직선 화살표 연결선 24408"/>
        <xdr:cNvCxnSpPr/>
      </xdr:nvCxnSpPr>
      <xdr:spPr>
        <a:xfrm>
          <a:off x="16678002" y="12542520"/>
          <a:ext cx="8273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20683</xdr:colOff>
      <xdr:row>62</xdr:row>
      <xdr:rowOff>41910</xdr:rowOff>
    </xdr:from>
    <xdr:to>
      <xdr:col>42</xdr:col>
      <xdr:colOff>42635</xdr:colOff>
      <xdr:row>62</xdr:row>
      <xdr:rowOff>156210</xdr:rowOff>
    </xdr:to>
    <xdr:sp macro="" textlink="">
      <xdr:nvSpPr>
        <xdr:cNvPr id="24410" name="59"/>
        <xdr:cNvSpPr/>
      </xdr:nvSpPr>
      <xdr:spPr>
        <a:xfrm>
          <a:off x="16243663" y="12287250"/>
          <a:ext cx="16673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41</xdr:col>
      <xdr:colOff>20683</xdr:colOff>
      <xdr:row>62</xdr:row>
      <xdr:rowOff>99060</xdr:rowOff>
    </xdr:from>
    <xdr:to>
      <xdr:col>42</xdr:col>
      <xdr:colOff>41366</xdr:colOff>
      <xdr:row>62</xdr:row>
      <xdr:rowOff>99060</xdr:rowOff>
    </xdr:to>
    <xdr:cxnSp macro="">
      <xdr:nvCxnSpPr>
        <xdr:cNvPr id="24411" name="직선 화살표 연결선 24410"/>
        <xdr:cNvCxnSpPr/>
      </xdr:nvCxnSpPr>
      <xdr:spPr>
        <a:xfrm>
          <a:off x="16243663" y="12344400"/>
          <a:ext cx="16546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20683</xdr:colOff>
      <xdr:row>61</xdr:row>
      <xdr:rowOff>41910</xdr:rowOff>
    </xdr:from>
    <xdr:to>
      <xdr:col>45</xdr:col>
      <xdr:colOff>42636</xdr:colOff>
      <xdr:row>61</xdr:row>
      <xdr:rowOff>156210</xdr:rowOff>
    </xdr:to>
    <xdr:sp macro="" textlink="">
      <xdr:nvSpPr>
        <xdr:cNvPr id="24412" name="58"/>
        <xdr:cNvSpPr/>
      </xdr:nvSpPr>
      <xdr:spPr>
        <a:xfrm>
          <a:off x="16243663" y="12089130"/>
          <a:ext cx="60107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41</xdr:col>
      <xdr:colOff>20683</xdr:colOff>
      <xdr:row>61</xdr:row>
      <xdr:rowOff>99060</xdr:rowOff>
    </xdr:from>
    <xdr:to>
      <xdr:col>45</xdr:col>
      <xdr:colOff>41366</xdr:colOff>
      <xdr:row>61</xdr:row>
      <xdr:rowOff>99060</xdr:rowOff>
    </xdr:to>
    <xdr:cxnSp macro="">
      <xdr:nvCxnSpPr>
        <xdr:cNvPr id="24413" name="직선 화살표 연결선 24412"/>
        <xdr:cNvCxnSpPr/>
      </xdr:nvCxnSpPr>
      <xdr:spPr>
        <a:xfrm>
          <a:off x="16243663" y="12146280"/>
          <a:ext cx="59980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103414</xdr:colOff>
      <xdr:row>60</xdr:row>
      <xdr:rowOff>41910</xdr:rowOff>
    </xdr:from>
    <xdr:to>
      <xdr:col>45</xdr:col>
      <xdr:colOff>42636</xdr:colOff>
      <xdr:row>60</xdr:row>
      <xdr:rowOff>156210</xdr:rowOff>
    </xdr:to>
    <xdr:sp macro="" textlink="">
      <xdr:nvSpPr>
        <xdr:cNvPr id="24414" name="57"/>
        <xdr:cNvSpPr/>
      </xdr:nvSpPr>
      <xdr:spPr>
        <a:xfrm>
          <a:off x="16760734" y="11891010"/>
          <a:ext cx="8400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44</xdr:col>
      <xdr:colOff>103414</xdr:colOff>
      <xdr:row>60</xdr:row>
      <xdr:rowOff>99060</xdr:rowOff>
    </xdr:from>
    <xdr:to>
      <xdr:col>45</xdr:col>
      <xdr:colOff>41366</xdr:colOff>
      <xdr:row>60</xdr:row>
      <xdr:rowOff>99060</xdr:rowOff>
    </xdr:to>
    <xdr:cxnSp macro="">
      <xdr:nvCxnSpPr>
        <xdr:cNvPr id="24415" name="직선 화살표 연결선 24414"/>
        <xdr:cNvCxnSpPr/>
      </xdr:nvCxnSpPr>
      <xdr:spPr>
        <a:xfrm>
          <a:off x="16760734" y="11948160"/>
          <a:ext cx="8273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103414</xdr:colOff>
      <xdr:row>59</xdr:row>
      <xdr:rowOff>41910</xdr:rowOff>
    </xdr:from>
    <xdr:to>
      <xdr:col>45</xdr:col>
      <xdr:colOff>42636</xdr:colOff>
      <xdr:row>59</xdr:row>
      <xdr:rowOff>156210</xdr:rowOff>
    </xdr:to>
    <xdr:sp macro="" textlink="">
      <xdr:nvSpPr>
        <xdr:cNvPr id="24416" name="56"/>
        <xdr:cNvSpPr/>
      </xdr:nvSpPr>
      <xdr:spPr>
        <a:xfrm>
          <a:off x="16760734" y="11692890"/>
          <a:ext cx="8400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44</xdr:col>
      <xdr:colOff>103414</xdr:colOff>
      <xdr:row>59</xdr:row>
      <xdr:rowOff>99060</xdr:rowOff>
    </xdr:from>
    <xdr:to>
      <xdr:col>45</xdr:col>
      <xdr:colOff>41366</xdr:colOff>
      <xdr:row>59</xdr:row>
      <xdr:rowOff>99060</xdr:rowOff>
    </xdr:to>
    <xdr:cxnSp macro="">
      <xdr:nvCxnSpPr>
        <xdr:cNvPr id="24417" name="직선 화살표 연결선 24416"/>
        <xdr:cNvCxnSpPr/>
      </xdr:nvCxnSpPr>
      <xdr:spPr>
        <a:xfrm>
          <a:off x="16760734" y="11750040"/>
          <a:ext cx="8273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103414</xdr:colOff>
      <xdr:row>58</xdr:row>
      <xdr:rowOff>41910</xdr:rowOff>
    </xdr:from>
    <xdr:to>
      <xdr:col>42</xdr:col>
      <xdr:colOff>42635</xdr:colOff>
      <xdr:row>58</xdr:row>
      <xdr:rowOff>156210</xdr:rowOff>
    </xdr:to>
    <xdr:sp macro="" textlink="">
      <xdr:nvSpPr>
        <xdr:cNvPr id="24418" name="55"/>
        <xdr:cNvSpPr/>
      </xdr:nvSpPr>
      <xdr:spPr>
        <a:xfrm>
          <a:off x="16326394" y="11494770"/>
          <a:ext cx="8400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41</xdr:col>
      <xdr:colOff>103414</xdr:colOff>
      <xdr:row>58</xdr:row>
      <xdr:rowOff>99060</xdr:rowOff>
    </xdr:from>
    <xdr:to>
      <xdr:col>42</xdr:col>
      <xdr:colOff>41366</xdr:colOff>
      <xdr:row>58</xdr:row>
      <xdr:rowOff>99060</xdr:rowOff>
    </xdr:to>
    <xdr:cxnSp macro="">
      <xdr:nvCxnSpPr>
        <xdr:cNvPr id="24419" name="직선 화살표 연결선 24418"/>
        <xdr:cNvCxnSpPr/>
      </xdr:nvCxnSpPr>
      <xdr:spPr>
        <a:xfrm>
          <a:off x="16326394" y="11551920"/>
          <a:ext cx="8273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20683</xdr:colOff>
      <xdr:row>57</xdr:row>
      <xdr:rowOff>41910</xdr:rowOff>
    </xdr:from>
    <xdr:to>
      <xdr:col>41</xdr:col>
      <xdr:colOff>125366</xdr:colOff>
      <xdr:row>57</xdr:row>
      <xdr:rowOff>156210</xdr:rowOff>
    </xdr:to>
    <xdr:sp macro="" textlink="">
      <xdr:nvSpPr>
        <xdr:cNvPr id="24420" name="54"/>
        <xdr:cNvSpPr/>
      </xdr:nvSpPr>
      <xdr:spPr>
        <a:xfrm>
          <a:off x="16243663" y="11296650"/>
          <a:ext cx="104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41</xdr:col>
      <xdr:colOff>20683</xdr:colOff>
      <xdr:row>57</xdr:row>
      <xdr:rowOff>99060</xdr:rowOff>
    </xdr:from>
    <xdr:to>
      <xdr:col>41</xdr:col>
      <xdr:colOff>124097</xdr:colOff>
      <xdr:row>57</xdr:row>
      <xdr:rowOff>99060</xdr:rowOff>
    </xdr:to>
    <xdr:cxnSp macro="">
      <xdr:nvCxnSpPr>
        <xdr:cNvPr id="24421" name="직선 화살표 연결선 24420"/>
        <xdr:cNvCxnSpPr/>
      </xdr:nvCxnSpPr>
      <xdr:spPr>
        <a:xfrm>
          <a:off x="16243663" y="11353800"/>
          <a:ext cx="10341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20683</xdr:colOff>
      <xdr:row>56</xdr:row>
      <xdr:rowOff>41910</xdr:rowOff>
    </xdr:from>
    <xdr:to>
      <xdr:col>42</xdr:col>
      <xdr:colOff>42635</xdr:colOff>
      <xdr:row>56</xdr:row>
      <xdr:rowOff>156210</xdr:rowOff>
    </xdr:to>
    <xdr:sp macro="" textlink="">
      <xdr:nvSpPr>
        <xdr:cNvPr id="24422" name="53"/>
        <xdr:cNvSpPr/>
      </xdr:nvSpPr>
      <xdr:spPr>
        <a:xfrm>
          <a:off x="16243663" y="11098530"/>
          <a:ext cx="16673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41</xdr:col>
      <xdr:colOff>20683</xdr:colOff>
      <xdr:row>56</xdr:row>
      <xdr:rowOff>99060</xdr:rowOff>
    </xdr:from>
    <xdr:to>
      <xdr:col>42</xdr:col>
      <xdr:colOff>41366</xdr:colOff>
      <xdr:row>56</xdr:row>
      <xdr:rowOff>99060</xdr:rowOff>
    </xdr:to>
    <xdr:cxnSp macro="">
      <xdr:nvCxnSpPr>
        <xdr:cNvPr id="24423" name="직선 화살표 연결선 24422"/>
        <xdr:cNvCxnSpPr/>
      </xdr:nvCxnSpPr>
      <xdr:spPr>
        <a:xfrm>
          <a:off x="16243663" y="11155680"/>
          <a:ext cx="16546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20683</xdr:colOff>
      <xdr:row>55</xdr:row>
      <xdr:rowOff>41910</xdr:rowOff>
    </xdr:from>
    <xdr:to>
      <xdr:col>50</xdr:col>
      <xdr:colOff>21952</xdr:colOff>
      <xdr:row>55</xdr:row>
      <xdr:rowOff>156210</xdr:rowOff>
    </xdr:to>
    <xdr:sp macro="" textlink="">
      <xdr:nvSpPr>
        <xdr:cNvPr id="24424" name="52"/>
        <xdr:cNvSpPr/>
      </xdr:nvSpPr>
      <xdr:spPr>
        <a:xfrm>
          <a:off x="16243663" y="10900410"/>
          <a:ext cx="130428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41</xdr:col>
      <xdr:colOff>20683</xdr:colOff>
      <xdr:row>55</xdr:row>
      <xdr:rowOff>99060</xdr:rowOff>
    </xdr:from>
    <xdr:to>
      <xdr:col>45</xdr:col>
      <xdr:colOff>138227</xdr:colOff>
      <xdr:row>55</xdr:row>
      <xdr:rowOff>99060</xdr:rowOff>
    </xdr:to>
    <xdr:cxnSp macro="">
      <xdr:nvCxnSpPr>
        <xdr:cNvPr id="24425" name="직선 화살표 연결선 24424"/>
        <xdr:cNvCxnSpPr/>
      </xdr:nvCxnSpPr>
      <xdr:spPr>
        <a:xfrm>
          <a:off x="16243663" y="10957560"/>
          <a:ext cx="69666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41366</xdr:colOff>
      <xdr:row>54</xdr:row>
      <xdr:rowOff>41910</xdr:rowOff>
    </xdr:from>
    <xdr:to>
      <xdr:col>50</xdr:col>
      <xdr:colOff>21952</xdr:colOff>
      <xdr:row>54</xdr:row>
      <xdr:rowOff>156210</xdr:rowOff>
    </xdr:to>
    <xdr:sp macro="" textlink="">
      <xdr:nvSpPr>
        <xdr:cNvPr id="24426" name="51"/>
        <xdr:cNvSpPr/>
      </xdr:nvSpPr>
      <xdr:spPr>
        <a:xfrm>
          <a:off x="17422586" y="10702290"/>
          <a:ext cx="12536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49</xdr:col>
      <xdr:colOff>41366</xdr:colOff>
      <xdr:row>54</xdr:row>
      <xdr:rowOff>99060</xdr:rowOff>
    </xdr:from>
    <xdr:to>
      <xdr:col>49</xdr:col>
      <xdr:colOff>41366</xdr:colOff>
      <xdr:row>54</xdr:row>
      <xdr:rowOff>99060</xdr:rowOff>
    </xdr:to>
    <xdr:cxnSp macro="">
      <xdr:nvCxnSpPr>
        <xdr:cNvPr id="24427" name="직선 화살표 연결선 24426"/>
        <xdr:cNvCxnSpPr/>
      </xdr:nvCxnSpPr>
      <xdr:spPr>
        <a:xfrm>
          <a:off x="17422586" y="107594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48</xdr:col>
      <xdr:colOff>62048</xdr:colOff>
      <xdr:row>53</xdr:row>
      <xdr:rowOff>41910</xdr:rowOff>
    </xdr:from>
    <xdr:to>
      <xdr:col>49</xdr:col>
      <xdr:colOff>42636</xdr:colOff>
      <xdr:row>53</xdr:row>
      <xdr:rowOff>156210</xdr:rowOff>
    </xdr:to>
    <xdr:sp macro="" textlink="">
      <xdr:nvSpPr>
        <xdr:cNvPr id="24428" name="50"/>
        <xdr:cNvSpPr/>
      </xdr:nvSpPr>
      <xdr:spPr>
        <a:xfrm>
          <a:off x="17298488" y="10504170"/>
          <a:ext cx="12536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48</xdr:col>
      <xdr:colOff>62048</xdr:colOff>
      <xdr:row>53</xdr:row>
      <xdr:rowOff>99060</xdr:rowOff>
    </xdr:from>
    <xdr:to>
      <xdr:col>48</xdr:col>
      <xdr:colOff>62048</xdr:colOff>
      <xdr:row>53</xdr:row>
      <xdr:rowOff>99060</xdr:rowOff>
    </xdr:to>
    <xdr:cxnSp macro="">
      <xdr:nvCxnSpPr>
        <xdr:cNvPr id="24429" name="직선 화살표 연결선 24428"/>
        <xdr:cNvCxnSpPr/>
      </xdr:nvCxnSpPr>
      <xdr:spPr>
        <a:xfrm>
          <a:off x="17298488" y="1056132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41366</xdr:colOff>
      <xdr:row>52</xdr:row>
      <xdr:rowOff>41910</xdr:rowOff>
    </xdr:from>
    <xdr:to>
      <xdr:col>48</xdr:col>
      <xdr:colOff>42636</xdr:colOff>
      <xdr:row>52</xdr:row>
      <xdr:rowOff>156210</xdr:rowOff>
    </xdr:to>
    <xdr:sp macro="" textlink="">
      <xdr:nvSpPr>
        <xdr:cNvPr id="24430" name="49"/>
        <xdr:cNvSpPr/>
      </xdr:nvSpPr>
      <xdr:spPr>
        <a:xfrm>
          <a:off x="17133026" y="10306050"/>
          <a:ext cx="14605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47</xdr:col>
      <xdr:colOff>41366</xdr:colOff>
      <xdr:row>52</xdr:row>
      <xdr:rowOff>99060</xdr:rowOff>
    </xdr:from>
    <xdr:to>
      <xdr:col>47</xdr:col>
      <xdr:colOff>41366</xdr:colOff>
      <xdr:row>52</xdr:row>
      <xdr:rowOff>99060</xdr:rowOff>
    </xdr:to>
    <xdr:cxnSp macro="">
      <xdr:nvCxnSpPr>
        <xdr:cNvPr id="24431" name="직선 화살표 연결선 24430"/>
        <xdr:cNvCxnSpPr/>
      </xdr:nvCxnSpPr>
      <xdr:spPr>
        <a:xfrm>
          <a:off x="17133026" y="103632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41366</xdr:colOff>
      <xdr:row>51</xdr:row>
      <xdr:rowOff>41910</xdr:rowOff>
    </xdr:from>
    <xdr:to>
      <xdr:col>48</xdr:col>
      <xdr:colOff>42636</xdr:colOff>
      <xdr:row>51</xdr:row>
      <xdr:rowOff>156210</xdr:rowOff>
    </xdr:to>
    <xdr:sp macro="" textlink="">
      <xdr:nvSpPr>
        <xdr:cNvPr id="24432" name="48"/>
        <xdr:cNvSpPr/>
      </xdr:nvSpPr>
      <xdr:spPr>
        <a:xfrm>
          <a:off x="17133026" y="10107930"/>
          <a:ext cx="14605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47</xdr:col>
      <xdr:colOff>41366</xdr:colOff>
      <xdr:row>51</xdr:row>
      <xdr:rowOff>99060</xdr:rowOff>
    </xdr:from>
    <xdr:to>
      <xdr:col>47</xdr:col>
      <xdr:colOff>41366</xdr:colOff>
      <xdr:row>51</xdr:row>
      <xdr:rowOff>99060</xdr:rowOff>
    </xdr:to>
    <xdr:cxnSp macro="">
      <xdr:nvCxnSpPr>
        <xdr:cNvPr id="24433" name="직선 화살표 연결선 24432"/>
        <xdr:cNvCxnSpPr/>
      </xdr:nvCxnSpPr>
      <xdr:spPr>
        <a:xfrm>
          <a:off x="17133026" y="101650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41365</xdr:colOff>
      <xdr:row>50</xdr:row>
      <xdr:rowOff>41910</xdr:rowOff>
    </xdr:from>
    <xdr:to>
      <xdr:col>47</xdr:col>
      <xdr:colOff>42635</xdr:colOff>
      <xdr:row>50</xdr:row>
      <xdr:rowOff>156210</xdr:rowOff>
    </xdr:to>
    <xdr:sp macro="" textlink="">
      <xdr:nvSpPr>
        <xdr:cNvPr id="24434" name="47"/>
        <xdr:cNvSpPr/>
      </xdr:nvSpPr>
      <xdr:spPr>
        <a:xfrm>
          <a:off x="16988245" y="9909810"/>
          <a:ext cx="14605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46</xdr:col>
      <xdr:colOff>41365</xdr:colOff>
      <xdr:row>50</xdr:row>
      <xdr:rowOff>99060</xdr:rowOff>
    </xdr:from>
    <xdr:to>
      <xdr:col>46</xdr:col>
      <xdr:colOff>41365</xdr:colOff>
      <xdr:row>50</xdr:row>
      <xdr:rowOff>99060</xdr:rowOff>
    </xdr:to>
    <xdr:cxnSp macro="">
      <xdr:nvCxnSpPr>
        <xdr:cNvPr id="24435" name="직선 화살표 연결선 24434"/>
        <xdr:cNvCxnSpPr/>
      </xdr:nvCxnSpPr>
      <xdr:spPr>
        <a:xfrm>
          <a:off x="16988245" y="996696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41366</xdr:colOff>
      <xdr:row>49</xdr:row>
      <xdr:rowOff>41910</xdr:rowOff>
    </xdr:from>
    <xdr:to>
      <xdr:col>46</xdr:col>
      <xdr:colOff>42635</xdr:colOff>
      <xdr:row>49</xdr:row>
      <xdr:rowOff>156210</xdr:rowOff>
    </xdr:to>
    <xdr:sp macro="" textlink="">
      <xdr:nvSpPr>
        <xdr:cNvPr id="24436" name="46"/>
        <xdr:cNvSpPr/>
      </xdr:nvSpPr>
      <xdr:spPr>
        <a:xfrm>
          <a:off x="16843466" y="9711690"/>
          <a:ext cx="14604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45</xdr:col>
      <xdr:colOff>41366</xdr:colOff>
      <xdr:row>49</xdr:row>
      <xdr:rowOff>99060</xdr:rowOff>
    </xdr:from>
    <xdr:to>
      <xdr:col>45</xdr:col>
      <xdr:colOff>41366</xdr:colOff>
      <xdr:row>49</xdr:row>
      <xdr:rowOff>99060</xdr:rowOff>
    </xdr:to>
    <xdr:cxnSp macro="">
      <xdr:nvCxnSpPr>
        <xdr:cNvPr id="24437" name="직선 화살표 연결선 24436"/>
        <xdr:cNvCxnSpPr/>
      </xdr:nvCxnSpPr>
      <xdr:spPr>
        <a:xfrm>
          <a:off x="16843466" y="97688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41366</xdr:colOff>
      <xdr:row>48</xdr:row>
      <xdr:rowOff>41910</xdr:rowOff>
    </xdr:from>
    <xdr:to>
      <xdr:col>45</xdr:col>
      <xdr:colOff>42636</xdr:colOff>
      <xdr:row>48</xdr:row>
      <xdr:rowOff>156210</xdr:rowOff>
    </xdr:to>
    <xdr:sp macro="" textlink="">
      <xdr:nvSpPr>
        <xdr:cNvPr id="24438" name="45"/>
        <xdr:cNvSpPr/>
      </xdr:nvSpPr>
      <xdr:spPr>
        <a:xfrm>
          <a:off x="16698686" y="9513570"/>
          <a:ext cx="14605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44</xdr:col>
      <xdr:colOff>41366</xdr:colOff>
      <xdr:row>48</xdr:row>
      <xdr:rowOff>99060</xdr:rowOff>
    </xdr:from>
    <xdr:to>
      <xdr:col>45</xdr:col>
      <xdr:colOff>41366</xdr:colOff>
      <xdr:row>48</xdr:row>
      <xdr:rowOff>99060</xdr:rowOff>
    </xdr:to>
    <xdr:cxnSp macro="">
      <xdr:nvCxnSpPr>
        <xdr:cNvPr id="24439" name="직선 화살표 연결선 24438"/>
        <xdr:cNvCxnSpPr/>
      </xdr:nvCxnSpPr>
      <xdr:spPr>
        <a:xfrm>
          <a:off x="16698686" y="9570720"/>
          <a:ext cx="14478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41366</xdr:colOff>
      <xdr:row>47</xdr:row>
      <xdr:rowOff>41910</xdr:rowOff>
    </xdr:from>
    <xdr:to>
      <xdr:col>50</xdr:col>
      <xdr:colOff>21952</xdr:colOff>
      <xdr:row>47</xdr:row>
      <xdr:rowOff>156210</xdr:rowOff>
    </xdr:to>
    <xdr:sp macro="" textlink="">
      <xdr:nvSpPr>
        <xdr:cNvPr id="24440" name="44"/>
        <xdr:cNvSpPr/>
      </xdr:nvSpPr>
      <xdr:spPr>
        <a:xfrm>
          <a:off x="16698686" y="9315450"/>
          <a:ext cx="84926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44</xdr:col>
      <xdr:colOff>41366</xdr:colOff>
      <xdr:row>47</xdr:row>
      <xdr:rowOff>99060</xdr:rowOff>
    </xdr:from>
    <xdr:to>
      <xdr:col>45</xdr:col>
      <xdr:colOff>37919</xdr:colOff>
      <xdr:row>47</xdr:row>
      <xdr:rowOff>99060</xdr:rowOff>
    </xdr:to>
    <xdr:cxnSp macro="">
      <xdr:nvCxnSpPr>
        <xdr:cNvPr id="24441" name="직선 화살표 연결선 24440"/>
        <xdr:cNvCxnSpPr/>
      </xdr:nvCxnSpPr>
      <xdr:spPr>
        <a:xfrm>
          <a:off x="16698686" y="9372600"/>
          <a:ext cx="14133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103414</xdr:colOff>
      <xdr:row>46</xdr:row>
      <xdr:rowOff>41910</xdr:rowOff>
    </xdr:from>
    <xdr:to>
      <xdr:col>51</xdr:col>
      <xdr:colOff>125366</xdr:colOff>
      <xdr:row>46</xdr:row>
      <xdr:rowOff>156210</xdr:rowOff>
    </xdr:to>
    <xdr:sp macro="" textlink="">
      <xdr:nvSpPr>
        <xdr:cNvPr id="24442" name="43"/>
        <xdr:cNvSpPr/>
      </xdr:nvSpPr>
      <xdr:spPr>
        <a:xfrm>
          <a:off x="17195074" y="9117330"/>
          <a:ext cx="60107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47</xdr:col>
      <xdr:colOff>103414</xdr:colOff>
      <xdr:row>46</xdr:row>
      <xdr:rowOff>99060</xdr:rowOff>
    </xdr:from>
    <xdr:to>
      <xdr:col>47</xdr:col>
      <xdr:colOff>103414</xdr:colOff>
      <xdr:row>46</xdr:row>
      <xdr:rowOff>99060</xdr:rowOff>
    </xdr:to>
    <xdr:cxnSp macro="">
      <xdr:nvCxnSpPr>
        <xdr:cNvPr id="24443" name="직선 화살표 연결선 24442"/>
        <xdr:cNvCxnSpPr/>
      </xdr:nvCxnSpPr>
      <xdr:spPr>
        <a:xfrm>
          <a:off x="17195074" y="91744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20683</xdr:colOff>
      <xdr:row>45</xdr:row>
      <xdr:rowOff>41910</xdr:rowOff>
    </xdr:from>
    <xdr:to>
      <xdr:col>47</xdr:col>
      <xdr:colOff>104684</xdr:colOff>
      <xdr:row>45</xdr:row>
      <xdr:rowOff>156210</xdr:rowOff>
    </xdr:to>
    <xdr:sp macro="" textlink="">
      <xdr:nvSpPr>
        <xdr:cNvPr id="24444" name="42"/>
        <xdr:cNvSpPr/>
      </xdr:nvSpPr>
      <xdr:spPr>
        <a:xfrm>
          <a:off x="16967563" y="8919210"/>
          <a:ext cx="22878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46</xdr:col>
      <xdr:colOff>20683</xdr:colOff>
      <xdr:row>45</xdr:row>
      <xdr:rowOff>99060</xdr:rowOff>
    </xdr:from>
    <xdr:to>
      <xdr:col>46</xdr:col>
      <xdr:colOff>20683</xdr:colOff>
      <xdr:row>45</xdr:row>
      <xdr:rowOff>99060</xdr:rowOff>
    </xdr:to>
    <xdr:cxnSp macro="">
      <xdr:nvCxnSpPr>
        <xdr:cNvPr id="24445" name="직선 화살표 연결선 24444"/>
        <xdr:cNvCxnSpPr/>
      </xdr:nvCxnSpPr>
      <xdr:spPr>
        <a:xfrm>
          <a:off x="16967563" y="897636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20682</xdr:colOff>
      <xdr:row>44</xdr:row>
      <xdr:rowOff>41910</xdr:rowOff>
    </xdr:from>
    <xdr:to>
      <xdr:col>45</xdr:col>
      <xdr:colOff>125368</xdr:colOff>
      <xdr:row>44</xdr:row>
      <xdr:rowOff>156210</xdr:rowOff>
    </xdr:to>
    <xdr:sp macro="" textlink="">
      <xdr:nvSpPr>
        <xdr:cNvPr id="24446" name="41"/>
        <xdr:cNvSpPr/>
      </xdr:nvSpPr>
      <xdr:spPr>
        <a:xfrm>
          <a:off x="16822782" y="8721090"/>
          <a:ext cx="10468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45</xdr:col>
      <xdr:colOff>20682</xdr:colOff>
      <xdr:row>44</xdr:row>
      <xdr:rowOff>99060</xdr:rowOff>
    </xdr:from>
    <xdr:to>
      <xdr:col>45</xdr:col>
      <xdr:colOff>41365</xdr:colOff>
      <xdr:row>44</xdr:row>
      <xdr:rowOff>99060</xdr:rowOff>
    </xdr:to>
    <xdr:cxnSp macro="">
      <xdr:nvCxnSpPr>
        <xdr:cNvPr id="24447" name="직선 화살표 연결선 24446"/>
        <xdr:cNvCxnSpPr/>
      </xdr:nvCxnSpPr>
      <xdr:spPr>
        <a:xfrm>
          <a:off x="16822782" y="8778240"/>
          <a:ext cx="2068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20682</xdr:colOff>
      <xdr:row>43</xdr:row>
      <xdr:rowOff>41910</xdr:rowOff>
    </xdr:from>
    <xdr:to>
      <xdr:col>51</xdr:col>
      <xdr:colOff>125366</xdr:colOff>
      <xdr:row>43</xdr:row>
      <xdr:rowOff>156210</xdr:rowOff>
    </xdr:to>
    <xdr:sp macro="" textlink="">
      <xdr:nvSpPr>
        <xdr:cNvPr id="24448" name="40"/>
        <xdr:cNvSpPr/>
      </xdr:nvSpPr>
      <xdr:spPr>
        <a:xfrm>
          <a:off x="16822782" y="8522970"/>
          <a:ext cx="97336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45</xdr:col>
      <xdr:colOff>20682</xdr:colOff>
      <xdr:row>43</xdr:row>
      <xdr:rowOff>99060</xdr:rowOff>
    </xdr:from>
    <xdr:to>
      <xdr:col>45</xdr:col>
      <xdr:colOff>44985</xdr:colOff>
      <xdr:row>43</xdr:row>
      <xdr:rowOff>99060</xdr:rowOff>
    </xdr:to>
    <xdr:cxnSp macro="">
      <xdr:nvCxnSpPr>
        <xdr:cNvPr id="24449" name="직선 화살표 연결선 24448"/>
        <xdr:cNvCxnSpPr/>
      </xdr:nvCxnSpPr>
      <xdr:spPr>
        <a:xfrm>
          <a:off x="16822782" y="8580120"/>
          <a:ext cx="2430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82731</xdr:colOff>
      <xdr:row>42</xdr:row>
      <xdr:rowOff>41910</xdr:rowOff>
    </xdr:from>
    <xdr:to>
      <xdr:col>44</xdr:col>
      <xdr:colOff>125367</xdr:colOff>
      <xdr:row>42</xdr:row>
      <xdr:rowOff>156210</xdr:rowOff>
    </xdr:to>
    <xdr:sp macro="" textlink="">
      <xdr:nvSpPr>
        <xdr:cNvPr id="24450" name="39"/>
        <xdr:cNvSpPr/>
      </xdr:nvSpPr>
      <xdr:spPr>
        <a:xfrm>
          <a:off x="16740051" y="8324850"/>
          <a:ext cx="4263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44</xdr:col>
      <xdr:colOff>82731</xdr:colOff>
      <xdr:row>42</xdr:row>
      <xdr:rowOff>99060</xdr:rowOff>
    </xdr:from>
    <xdr:to>
      <xdr:col>44</xdr:col>
      <xdr:colOff>124098</xdr:colOff>
      <xdr:row>42</xdr:row>
      <xdr:rowOff>99060</xdr:rowOff>
    </xdr:to>
    <xdr:cxnSp macro="">
      <xdr:nvCxnSpPr>
        <xdr:cNvPr id="24451" name="직선 화살표 연결선 24450"/>
        <xdr:cNvCxnSpPr/>
      </xdr:nvCxnSpPr>
      <xdr:spPr>
        <a:xfrm>
          <a:off x="16740051" y="8382000"/>
          <a:ext cx="4136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62049</xdr:colOff>
      <xdr:row>41</xdr:row>
      <xdr:rowOff>41910</xdr:rowOff>
    </xdr:from>
    <xdr:to>
      <xdr:col>44</xdr:col>
      <xdr:colOff>104683</xdr:colOff>
      <xdr:row>41</xdr:row>
      <xdr:rowOff>156210</xdr:rowOff>
    </xdr:to>
    <xdr:sp macro="" textlink="">
      <xdr:nvSpPr>
        <xdr:cNvPr id="24452" name="38"/>
        <xdr:cNvSpPr/>
      </xdr:nvSpPr>
      <xdr:spPr>
        <a:xfrm>
          <a:off x="16719369" y="8126730"/>
          <a:ext cx="4263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44</xdr:col>
      <xdr:colOff>62049</xdr:colOff>
      <xdr:row>41</xdr:row>
      <xdr:rowOff>99060</xdr:rowOff>
    </xdr:from>
    <xdr:to>
      <xdr:col>44</xdr:col>
      <xdr:colOff>103414</xdr:colOff>
      <xdr:row>41</xdr:row>
      <xdr:rowOff>99060</xdr:rowOff>
    </xdr:to>
    <xdr:cxnSp macro="">
      <xdr:nvCxnSpPr>
        <xdr:cNvPr id="24453" name="직선 화살표 연결선 24452"/>
        <xdr:cNvCxnSpPr/>
      </xdr:nvCxnSpPr>
      <xdr:spPr>
        <a:xfrm>
          <a:off x="16719369" y="8183880"/>
          <a:ext cx="4136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62049</xdr:colOff>
      <xdr:row>40</xdr:row>
      <xdr:rowOff>41910</xdr:rowOff>
    </xdr:from>
    <xdr:to>
      <xdr:col>44</xdr:col>
      <xdr:colOff>125367</xdr:colOff>
      <xdr:row>40</xdr:row>
      <xdr:rowOff>156210</xdr:rowOff>
    </xdr:to>
    <xdr:sp macro="" textlink="">
      <xdr:nvSpPr>
        <xdr:cNvPr id="24454" name="37"/>
        <xdr:cNvSpPr/>
      </xdr:nvSpPr>
      <xdr:spPr>
        <a:xfrm>
          <a:off x="16719369" y="7928610"/>
          <a:ext cx="6331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44</xdr:col>
      <xdr:colOff>62049</xdr:colOff>
      <xdr:row>40</xdr:row>
      <xdr:rowOff>99060</xdr:rowOff>
    </xdr:from>
    <xdr:to>
      <xdr:col>44</xdr:col>
      <xdr:colOff>124098</xdr:colOff>
      <xdr:row>40</xdr:row>
      <xdr:rowOff>99060</xdr:rowOff>
    </xdr:to>
    <xdr:cxnSp macro="">
      <xdr:nvCxnSpPr>
        <xdr:cNvPr id="24455" name="직선 화살표 연결선 24454"/>
        <xdr:cNvCxnSpPr/>
      </xdr:nvCxnSpPr>
      <xdr:spPr>
        <a:xfrm>
          <a:off x="16719369" y="7985760"/>
          <a:ext cx="6204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62049</xdr:colOff>
      <xdr:row>39</xdr:row>
      <xdr:rowOff>41910</xdr:rowOff>
    </xdr:from>
    <xdr:to>
      <xdr:col>44</xdr:col>
      <xdr:colOff>84001</xdr:colOff>
      <xdr:row>39</xdr:row>
      <xdr:rowOff>156210</xdr:rowOff>
    </xdr:to>
    <xdr:sp macro="" textlink="">
      <xdr:nvSpPr>
        <xdr:cNvPr id="24456" name="36"/>
        <xdr:cNvSpPr/>
      </xdr:nvSpPr>
      <xdr:spPr>
        <a:xfrm>
          <a:off x="16719369" y="7730490"/>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44</xdr:col>
      <xdr:colOff>62049</xdr:colOff>
      <xdr:row>39</xdr:row>
      <xdr:rowOff>99060</xdr:rowOff>
    </xdr:from>
    <xdr:to>
      <xdr:col>44</xdr:col>
      <xdr:colOff>82731</xdr:colOff>
      <xdr:row>39</xdr:row>
      <xdr:rowOff>99060</xdr:rowOff>
    </xdr:to>
    <xdr:cxnSp macro="">
      <xdr:nvCxnSpPr>
        <xdr:cNvPr id="24457" name="직선 화살표 연결선 24456"/>
        <xdr:cNvCxnSpPr/>
      </xdr:nvCxnSpPr>
      <xdr:spPr>
        <a:xfrm>
          <a:off x="16719369" y="7787640"/>
          <a:ext cx="2068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62049</xdr:colOff>
      <xdr:row>38</xdr:row>
      <xdr:rowOff>41910</xdr:rowOff>
    </xdr:from>
    <xdr:to>
      <xdr:col>44</xdr:col>
      <xdr:colOff>84001</xdr:colOff>
      <xdr:row>38</xdr:row>
      <xdr:rowOff>156210</xdr:rowOff>
    </xdr:to>
    <xdr:sp macro="" textlink="">
      <xdr:nvSpPr>
        <xdr:cNvPr id="24458" name="35"/>
        <xdr:cNvSpPr/>
      </xdr:nvSpPr>
      <xdr:spPr>
        <a:xfrm>
          <a:off x="16719369" y="7532370"/>
          <a:ext cx="2195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44</xdr:col>
      <xdr:colOff>62049</xdr:colOff>
      <xdr:row>38</xdr:row>
      <xdr:rowOff>99060</xdr:rowOff>
    </xdr:from>
    <xdr:to>
      <xdr:col>44</xdr:col>
      <xdr:colOff>82731</xdr:colOff>
      <xdr:row>38</xdr:row>
      <xdr:rowOff>99060</xdr:rowOff>
    </xdr:to>
    <xdr:cxnSp macro="">
      <xdr:nvCxnSpPr>
        <xdr:cNvPr id="24459" name="직선 화살표 연결선 24458"/>
        <xdr:cNvCxnSpPr/>
      </xdr:nvCxnSpPr>
      <xdr:spPr>
        <a:xfrm>
          <a:off x="16719369" y="7589520"/>
          <a:ext cx="2068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41366</xdr:colOff>
      <xdr:row>37</xdr:row>
      <xdr:rowOff>41910</xdr:rowOff>
    </xdr:from>
    <xdr:to>
      <xdr:col>44</xdr:col>
      <xdr:colOff>63318</xdr:colOff>
      <xdr:row>37</xdr:row>
      <xdr:rowOff>156210</xdr:rowOff>
    </xdr:to>
    <xdr:sp macro="" textlink="">
      <xdr:nvSpPr>
        <xdr:cNvPr id="24460" name="34"/>
        <xdr:cNvSpPr/>
      </xdr:nvSpPr>
      <xdr:spPr>
        <a:xfrm>
          <a:off x="16698686" y="7334250"/>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44</xdr:col>
      <xdr:colOff>41366</xdr:colOff>
      <xdr:row>37</xdr:row>
      <xdr:rowOff>99060</xdr:rowOff>
    </xdr:from>
    <xdr:to>
      <xdr:col>44</xdr:col>
      <xdr:colOff>62049</xdr:colOff>
      <xdr:row>37</xdr:row>
      <xdr:rowOff>99060</xdr:rowOff>
    </xdr:to>
    <xdr:cxnSp macro="">
      <xdr:nvCxnSpPr>
        <xdr:cNvPr id="24461" name="직선 화살표 연결선 24460"/>
        <xdr:cNvCxnSpPr/>
      </xdr:nvCxnSpPr>
      <xdr:spPr>
        <a:xfrm>
          <a:off x="16698686" y="7391400"/>
          <a:ext cx="2068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20682</xdr:colOff>
      <xdr:row>36</xdr:row>
      <xdr:rowOff>41910</xdr:rowOff>
    </xdr:from>
    <xdr:to>
      <xdr:col>44</xdr:col>
      <xdr:colOff>42636</xdr:colOff>
      <xdr:row>36</xdr:row>
      <xdr:rowOff>156210</xdr:rowOff>
    </xdr:to>
    <xdr:sp macro="" textlink="">
      <xdr:nvSpPr>
        <xdr:cNvPr id="24462" name="33"/>
        <xdr:cNvSpPr/>
      </xdr:nvSpPr>
      <xdr:spPr>
        <a:xfrm>
          <a:off x="16678002" y="7136130"/>
          <a:ext cx="2195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44</xdr:col>
      <xdr:colOff>20682</xdr:colOff>
      <xdr:row>36</xdr:row>
      <xdr:rowOff>99060</xdr:rowOff>
    </xdr:from>
    <xdr:to>
      <xdr:col>44</xdr:col>
      <xdr:colOff>41366</xdr:colOff>
      <xdr:row>36</xdr:row>
      <xdr:rowOff>99060</xdr:rowOff>
    </xdr:to>
    <xdr:cxnSp macro="">
      <xdr:nvCxnSpPr>
        <xdr:cNvPr id="24463" name="직선 화살표 연결선 24462"/>
        <xdr:cNvCxnSpPr/>
      </xdr:nvCxnSpPr>
      <xdr:spPr>
        <a:xfrm>
          <a:off x="16678002" y="7193280"/>
          <a:ext cx="2068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20682</xdr:colOff>
      <xdr:row>35</xdr:row>
      <xdr:rowOff>41910</xdr:rowOff>
    </xdr:from>
    <xdr:to>
      <xdr:col>44</xdr:col>
      <xdr:colOff>63318</xdr:colOff>
      <xdr:row>35</xdr:row>
      <xdr:rowOff>156210</xdr:rowOff>
    </xdr:to>
    <xdr:sp macro="" textlink="">
      <xdr:nvSpPr>
        <xdr:cNvPr id="24464" name="32"/>
        <xdr:cNvSpPr/>
      </xdr:nvSpPr>
      <xdr:spPr>
        <a:xfrm>
          <a:off x="16678002" y="6938010"/>
          <a:ext cx="4263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44</xdr:col>
      <xdr:colOff>20682</xdr:colOff>
      <xdr:row>35</xdr:row>
      <xdr:rowOff>99060</xdr:rowOff>
    </xdr:from>
    <xdr:to>
      <xdr:col>44</xdr:col>
      <xdr:colOff>62049</xdr:colOff>
      <xdr:row>35</xdr:row>
      <xdr:rowOff>99060</xdr:rowOff>
    </xdr:to>
    <xdr:cxnSp macro="">
      <xdr:nvCxnSpPr>
        <xdr:cNvPr id="24465" name="직선 화살표 연결선 24464"/>
        <xdr:cNvCxnSpPr/>
      </xdr:nvCxnSpPr>
      <xdr:spPr>
        <a:xfrm>
          <a:off x="16678002" y="6995160"/>
          <a:ext cx="4136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20682</xdr:colOff>
      <xdr:row>34</xdr:row>
      <xdr:rowOff>41910</xdr:rowOff>
    </xdr:from>
    <xdr:to>
      <xdr:col>51</xdr:col>
      <xdr:colOff>125366</xdr:colOff>
      <xdr:row>34</xdr:row>
      <xdr:rowOff>156210</xdr:rowOff>
    </xdr:to>
    <xdr:sp macro="" textlink="">
      <xdr:nvSpPr>
        <xdr:cNvPr id="24466" name="31"/>
        <xdr:cNvSpPr/>
      </xdr:nvSpPr>
      <xdr:spPr>
        <a:xfrm>
          <a:off x="16678002" y="6739890"/>
          <a:ext cx="111814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44</xdr:col>
      <xdr:colOff>20682</xdr:colOff>
      <xdr:row>34</xdr:row>
      <xdr:rowOff>99060</xdr:rowOff>
    </xdr:from>
    <xdr:to>
      <xdr:col>45</xdr:col>
      <xdr:colOff>99278</xdr:colOff>
      <xdr:row>34</xdr:row>
      <xdr:rowOff>99060</xdr:rowOff>
    </xdr:to>
    <xdr:cxnSp macro="">
      <xdr:nvCxnSpPr>
        <xdr:cNvPr id="24467" name="직선 화살표 연결선 24466"/>
        <xdr:cNvCxnSpPr/>
      </xdr:nvCxnSpPr>
      <xdr:spPr>
        <a:xfrm>
          <a:off x="16678002" y="6797040"/>
          <a:ext cx="22337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20683</xdr:colOff>
      <xdr:row>33</xdr:row>
      <xdr:rowOff>41910</xdr:rowOff>
    </xdr:from>
    <xdr:to>
      <xdr:col>51</xdr:col>
      <xdr:colOff>125366</xdr:colOff>
      <xdr:row>33</xdr:row>
      <xdr:rowOff>156210</xdr:rowOff>
    </xdr:to>
    <xdr:sp macro="" textlink="">
      <xdr:nvSpPr>
        <xdr:cNvPr id="24468" name="30"/>
        <xdr:cNvSpPr/>
      </xdr:nvSpPr>
      <xdr:spPr>
        <a:xfrm>
          <a:off x="16243663" y="6541770"/>
          <a:ext cx="155248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41</xdr:col>
      <xdr:colOff>20683</xdr:colOff>
      <xdr:row>33</xdr:row>
      <xdr:rowOff>99060</xdr:rowOff>
    </xdr:from>
    <xdr:to>
      <xdr:col>45</xdr:col>
      <xdr:colOff>51099</xdr:colOff>
      <xdr:row>33</xdr:row>
      <xdr:rowOff>99060</xdr:rowOff>
    </xdr:to>
    <xdr:cxnSp macro="">
      <xdr:nvCxnSpPr>
        <xdr:cNvPr id="24469" name="직선 화살표 연결선 24468"/>
        <xdr:cNvCxnSpPr/>
      </xdr:nvCxnSpPr>
      <xdr:spPr>
        <a:xfrm>
          <a:off x="16243663" y="6598920"/>
          <a:ext cx="60953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20683</xdr:colOff>
      <xdr:row>32</xdr:row>
      <xdr:rowOff>41910</xdr:rowOff>
    </xdr:from>
    <xdr:to>
      <xdr:col>51</xdr:col>
      <xdr:colOff>125366</xdr:colOff>
      <xdr:row>32</xdr:row>
      <xdr:rowOff>156210</xdr:rowOff>
    </xdr:to>
    <xdr:sp macro="" textlink="">
      <xdr:nvSpPr>
        <xdr:cNvPr id="24470" name="29"/>
        <xdr:cNvSpPr/>
      </xdr:nvSpPr>
      <xdr:spPr>
        <a:xfrm>
          <a:off x="16243663" y="6343650"/>
          <a:ext cx="155248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41</xdr:col>
      <xdr:colOff>20683</xdr:colOff>
      <xdr:row>32</xdr:row>
      <xdr:rowOff>99060</xdr:rowOff>
    </xdr:from>
    <xdr:to>
      <xdr:col>45</xdr:col>
      <xdr:colOff>51099</xdr:colOff>
      <xdr:row>32</xdr:row>
      <xdr:rowOff>99060</xdr:rowOff>
    </xdr:to>
    <xdr:cxnSp macro="">
      <xdr:nvCxnSpPr>
        <xdr:cNvPr id="24471" name="직선 화살표 연결선 24470"/>
        <xdr:cNvCxnSpPr/>
      </xdr:nvCxnSpPr>
      <xdr:spPr>
        <a:xfrm>
          <a:off x="16243663" y="6400800"/>
          <a:ext cx="60953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20683</xdr:colOff>
      <xdr:row>31</xdr:row>
      <xdr:rowOff>41910</xdr:rowOff>
    </xdr:from>
    <xdr:to>
      <xdr:col>44</xdr:col>
      <xdr:colOff>63318</xdr:colOff>
      <xdr:row>31</xdr:row>
      <xdr:rowOff>156210</xdr:rowOff>
    </xdr:to>
    <xdr:sp macro="" textlink="">
      <xdr:nvSpPr>
        <xdr:cNvPr id="24472" name="28"/>
        <xdr:cNvSpPr/>
      </xdr:nvSpPr>
      <xdr:spPr>
        <a:xfrm>
          <a:off x="16243663" y="6145530"/>
          <a:ext cx="47697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41</xdr:col>
      <xdr:colOff>20683</xdr:colOff>
      <xdr:row>31</xdr:row>
      <xdr:rowOff>99060</xdr:rowOff>
    </xdr:from>
    <xdr:to>
      <xdr:col>44</xdr:col>
      <xdr:colOff>62049</xdr:colOff>
      <xdr:row>31</xdr:row>
      <xdr:rowOff>99060</xdr:rowOff>
    </xdr:to>
    <xdr:cxnSp macro="">
      <xdr:nvCxnSpPr>
        <xdr:cNvPr id="24473" name="직선 화살표 연결선 24472"/>
        <xdr:cNvCxnSpPr/>
      </xdr:nvCxnSpPr>
      <xdr:spPr>
        <a:xfrm>
          <a:off x="16243663" y="6202680"/>
          <a:ext cx="47570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20683</xdr:colOff>
      <xdr:row>30</xdr:row>
      <xdr:rowOff>41910</xdr:rowOff>
    </xdr:from>
    <xdr:to>
      <xdr:col>42</xdr:col>
      <xdr:colOff>42635</xdr:colOff>
      <xdr:row>30</xdr:row>
      <xdr:rowOff>156210</xdr:rowOff>
    </xdr:to>
    <xdr:sp macro="" textlink="">
      <xdr:nvSpPr>
        <xdr:cNvPr id="24474" name="27"/>
        <xdr:cNvSpPr/>
      </xdr:nvSpPr>
      <xdr:spPr>
        <a:xfrm>
          <a:off x="16243663" y="5947410"/>
          <a:ext cx="16673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41</xdr:col>
      <xdr:colOff>20683</xdr:colOff>
      <xdr:row>30</xdr:row>
      <xdr:rowOff>99060</xdr:rowOff>
    </xdr:from>
    <xdr:to>
      <xdr:col>42</xdr:col>
      <xdr:colOff>41366</xdr:colOff>
      <xdr:row>30</xdr:row>
      <xdr:rowOff>99060</xdr:rowOff>
    </xdr:to>
    <xdr:cxnSp macro="">
      <xdr:nvCxnSpPr>
        <xdr:cNvPr id="24475" name="직선 화살표 연결선 24474"/>
        <xdr:cNvCxnSpPr/>
      </xdr:nvCxnSpPr>
      <xdr:spPr>
        <a:xfrm>
          <a:off x="16243663" y="6004560"/>
          <a:ext cx="16546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20683</xdr:colOff>
      <xdr:row>29</xdr:row>
      <xdr:rowOff>41910</xdr:rowOff>
    </xdr:from>
    <xdr:to>
      <xdr:col>44</xdr:col>
      <xdr:colOff>63318</xdr:colOff>
      <xdr:row>29</xdr:row>
      <xdr:rowOff>156210</xdr:rowOff>
    </xdr:to>
    <xdr:sp macro="" textlink="">
      <xdr:nvSpPr>
        <xdr:cNvPr id="24476" name="26"/>
        <xdr:cNvSpPr/>
      </xdr:nvSpPr>
      <xdr:spPr>
        <a:xfrm>
          <a:off x="16243663" y="5749290"/>
          <a:ext cx="47697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41</xdr:col>
      <xdr:colOff>20683</xdr:colOff>
      <xdr:row>29</xdr:row>
      <xdr:rowOff>99060</xdr:rowOff>
    </xdr:from>
    <xdr:to>
      <xdr:col>44</xdr:col>
      <xdr:colOff>62049</xdr:colOff>
      <xdr:row>29</xdr:row>
      <xdr:rowOff>99060</xdr:rowOff>
    </xdr:to>
    <xdr:cxnSp macro="">
      <xdr:nvCxnSpPr>
        <xdr:cNvPr id="24477" name="직선 화살표 연결선 24476"/>
        <xdr:cNvCxnSpPr/>
      </xdr:nvCxnSpPr>
      <xdr:spPr>
        <a:xfrm>
          <a:off x="16243663" y="5806440"/>
          <a:ext cx="47570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20683</xdr:colOff>
      <xdr:row>28</xdr:row>
      <xdr:rowOff>41910</xdr:rowOff>
    </xdr:from>
    <xdr:to>
      <xdr:col>44</xdr:col>
      <xdr:colOff>63318</xdr:colOff>
      <xdr:row>28</xdr:row>
      <xdr:rowOff>156210</xdr:rowOff>
    </xdr:to>
    <xdr:sp macro="" textlink="">
      <xdr:nvSpPr>
        <xdr:cNvPr id="24478" name="25"/>
        <xdr:cNvSpPr/>
      </xdr:nvSpPr>
      <xdr:spPr>
        <a:xfrm>
          <a:off x="16243663" y="5551170"/>
          <a:ext cx="47697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41</xdr:col>
      <xdr:colOff>20683</xdr:colOff>
      <xdr:row>28</xdr:row>
      <xdr:rowOff>99060</xdr:rowOff>
    </xdr:from>
    <xdr:to>
      <xdr:col>44</xdr:col>
      <xdr:colOff>62049</xdr:colOff>
      <xdr:row>28</xdr:row>
      <xdr:rowOff>99060</xdr:rowOff>
    </xdr:to>
    <xdr:cxnSp macro="">
      <xdr:nvCxnSpPr>
        <xdr:cNvPr id="24479" name="직선 화살표 연결선 24478"/>
        <xdr:cNvCxnSpPr/>
      </xdr:nvCxnSpPr>
      <xdr:spPr>
        <a:xfrm>
          <a:off x="16243663" y="5608320"/>
          <a:ext cx="47570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20683</xdr:colOff>
      <xdr:row>27</xdr:row>
      <xdr:rowOff>41910</xdr:rowOff>
    </xdr:from>
    <xdr:to>
      <xdr:col>44</xdr:col>
      <xdr:colOff>63318</xdr:colOff>
      <xdr:row>27</xdr:row>
      <xdr:rowOff>156210</xdr:rowOff>
    </xdr:to>
    <xdr:sp macro="" textlink="">
      <xdr:nvSpPr>
        <xdr:cNvPr id="24480" name="24"/>
        <xdr:cNvSpPr/>
      </xdr:nvSpPr>
      <xdr:spPr>
        <a:xfrm>
          <a:off x="16243663" y="5353050"/>
          <a:ext cx="47697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41</xdr:col>
      <xdr:colOff>20683</xdr:colOff>
      <xdr:row>27</xdr:row>
      <xdr:rowOff>99060</xdr:rowOff>
    </xdr:from>
    <xdr:to>
      <xdr:col>44</xdr:col>
      <xdr:colOff>62049</xdr:colOff>
      <xdr:row>27</xdr:row>
      <xdr:rowOff>99060</xdr:rowOff>
    </xdr:to>
    <xdr:cxnSp macro="">
      <xdr:nvCxnSpPr>
        <xdr:cNvPr id="24481" name="직선 화살표 연결선 24480"/>
        <xdr:cNvCxnSpPr/>
      </xdr:nvCxnSpPr>
      <xdr:spPr>
        <a:xfrm>
          <a:off x="16243663" y="5410200"/>
          <a:ext cx="47570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20683</xdr:colOff>
      <xdr:row>26</xdr:row>
      <xdr:rowOff>41910</xdr:rowOff>
    </xdr:from>
    <xdr:to>
      <xdr:col>41</xdr:col>
      <xdr:colOff>125366</xdr:colOff>
      <xdr:row>26</xdr:row>
      <xdr:rowOff>156210</xdr:rowOff>
    </xdr:to>
    <xdr:sp macro="" textlink="">
      <xdr:nvSpPr>
        <xdr:cNvPr id="24482" name="23"/>
        <xdr:cNvSpPr/>
      </xdr:nvSpPr>
      <xdr:spPr>
        <a:xfrm>
          <a:off x="16243663" y="5154930"/>
          <a:ext cx="104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41</xdr:col>
      <xdr:colOff>20683</xdr:colOff>
      <xdr:row>26</xdr:row>
      <xdr:rowOff>99060</xdr:rowOff>
    </xdr:from>
    <xdr:to>
      <xdr:col>41</xdr:col>
      <xdr:colOff>124097</xdr:colOff>
      <xdr:row>26</xdr:row>
      <xdr:rowOff>99060</xdr:rowOff>
    </xdr:to>
    <xdr:cxnSp macro="">
      <xdr:nvCxnSpPr>
        <xdr:cNvPr id="24483" name="직선 화살표 연결선 24482"/>
        <xdr:cNvCxnSpPr/>
      </xdr:nvCxnSpPr>
      <xdr:spPr>
        <a:xfrm>
          <a:off x="16243663" y="5212080"/>
          <a:ext cx="10341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20683</xdr:colOff>
      <xdr:row>25</xdr:row>
      <xdr:rowOff>41910</xdr:rowOff>
    </xdr:from>
    <xdr:to>
      <xdr:col>41</xdr:col>
      <xdr:colOff>125366</xdr:colOff>
      <xdr:row>25</xdr:row>
      <xdr:rowOff>156210</xdr:rowOff>
    </xdr:to>
    <xdr:sp macro="" textlink="">
      <xdr:nvSpPr>
        <xdr:cNvPr id="24484" name="22"/>
        <xdr:cNvSpPr/>
      </xdr:nvSpPr>
      <xdr:spPr>
        <a:xfrm>
          <a:off x="16243663" y="4956810"/>
          <a:ext cx="104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41</xdr:col>
      <xdr:colOff>20683</xdr:colOff>
      <xdr:row>25</xdr:row>
      <xdr:rowOff>99060</xdr:rowOff>
    </xdr:from>
    <xdr:to>
      <xdr:col>41</xdr:col>
      <xdr:colOff>124097</xdr:colOff>
      <xdr:row>25</xdr:row>
      <xdr:rowOff>99060</xdr:rowOff>
    </xdr:to>
    <xdr:cxnSp macro="">
      <xdr:nvCxnSpPr>
        <xdr:cNvPr id="24485" name="직선 화살표 연결선 24484"/>
        <xdr:cNvCxnSpPr/>
      </xdr:nvCxnSpPr>
      <xdr:spPr>
        <a:xfrm>
          <a:off x="16243663" y="5013960"/>
          <a:ext cx="10341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20683</xdr:colOff>
      <xdr:row>24</xdr:row>
      <xdr:rowOff>41910</xdr:rowOff>
    </xdr:from>
    <xdr:to>
      <xdr:col>41</xdr:col>
      <xdr:colOff>125366</xdr:colOff>
      <xdr:row>24</xdr:row>
      <xdr:rowOff>156210</xdr:rowOff>
    </xdr:to>
    <xdr:sp macro="" textlink="">
      <xdr:nvSpPr>
        <xdr:cNvPr id="24486" name="21"/>
        <xdr:cNvSpPr/>
      </xdr:nvSpPr>
      <xdr:spPr>
        <a:xfrm>
          <a:off x="16243663" y="4758690"/>
          <a:ext cx="10468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41</xdr:col>
      <xdr:colOff>20683</xdr:colOff>
      <xdr:row>24</xdr:row>
      <xdr:rowOff>99060</xdr:rowOff>
    </xdr:from>
    <xdr:to>
      <xdr:col>41</xdr:col>
      <xdr:colOff>124097</xdr:colOff>
      <xdr:row>24</xdr:row>
      <xdr:rowOff>99060</xdr:rowOff>
    </xdr:to>
    <xdr:cxnSp macro="">
      <xdr:nvCxnSpPr>
        <xdr:cNvPr id="24487" name="직선 화살표 연결선 24486"/>
        <xdr:cNvCxnSpPr/>
      </xdr:nvCxnSpPr>
      <xdr:spPr>
        <a:xfrm>
          <a:off x="16243663" y="4815840"/>
          <a:ext cx="10341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62048</xdr:colOff>
      <xdr:row>23</xdr:row>
      <xdr:rowOff>41910</xdr:rowOff>
    </xdr:from>
    <xdr:to>
      <xdr:col>41</xdr:col>
      <xdr:colOff>42635</xdr:colOff>
      <xdr:row>23</xdr:row>
      <xdr:rowOff>156210</xdr:rowOff>
    </xdr:to>
    <xdr:sp macro="" textlink="">
      <xdr:nvSpPr>
        <xdr:cNvPr id="24488" name="20"/>
        <xdr:cNvSpPr/>
      </xdr:nvSpPr>
      <xdr:spPr>
        <a:xfrm>
          <a:off x="15850688" y="4560570"/>
          <a:ext cx="414927"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62048</xdr:colOff>
      <xdr:row>23</xdr:row>
      <xdr:rowOff>99060</xdr:rowOff>
    </xdr:from>
    <xdr:to>
      <xdr:col>41</xdr:col>
      <xdr:colOff>41365</xdr:colOff>
      <xdr:row>23</xdr:row>
      <xdr:rowOff>99060</xdr:rowOff>
    </xdr:to>
    <xdr:cxnSp macro="">
      <xdr:nvCxnSpPr>
        <xdr:cNvPr id="24489" name="직선 화살표 연결선 24488"/>
        <xdr:cNvCxnSpPr/>
      </xdr:nvCxnSpPr>
      <xdr:spPr>
        <a:xfrm>
          <a:off x="15850688" y="4617720"/>
          <a:ext cx="41365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20683</xdr:colOff>
      <xdr:row>22</xdr:row>
      <xdr:rowOff>41910</xdr:rowOff>
    </xdr:from>
    <xdr:to>
      <xdr:col>38</xdr:col>
      <xdr:colOff>84000</xdr:colOff>
      <xdr:row>22</xdr:row>
      <xdr:rowOff>156210</xdr:rowOff>
    </xdr:to>
    <xdr:sp macro="" textlink="">
      <xdr:nvSpPr>
        <xdr:cNvPr id="24490" name="19"/>
        <xdr:cNvSpPr/>
      </xdr:nvSpPr>
      <xdr:spPr>
        <a:xfrm>
          <a:off x="15664543" y="4362450"/>
          <a:ext cx="208097"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20683</xdr:colOff>
      <xdr:row>22</xdr:row>
      <xdr:rowOff>99060</xdr:rowOff>
    </xdr:from>
    <xdr:to>
      <xdr:col>38</xdr:col>
      <xdr:colOff>82731</xdr:colOff>
      <xdr:row>22</xdr:row>
      <xdr:rowOff>99060</xdr:rowOff>
    </xdr:to>
    <xdr:cxnSp macro="">
      <xdr:nvCxnSpPr>
        <xdr:cNvPr id="24491" name="직선 화살표 연결선 24490"/>
        <xdr:cNvCxnSpPr/>
      </xdr:nvCxnSpPr>
      <xdr:spPr>
        <a:xfrm>
          <a:off x="15664543" y="4419600"/>
          <a:ext cx="20682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20683</xdr:colOff>
      <xdr:row>21</xdr:row>
      <xdr:rowOff>41910</xdr:rowOff>
    </xdr:from>
    <xdr:to>
      <xdr:col>41</xdr:col>
      <xdr:colOff>125366</xdr:colOff>
      <xdr:row>21</xdr:row>
      <xdr:rowOff>156210</xdr:rowOff>
    </xdr:to>
    <xdr:sp macro="" textlink="">
      <xdr:nvSpPr>
        <xdr:cNvPr id="24492" name="18"/>
        <xdr:cNvSpPr/>
      </xdr:nvSpPr>
      <xdr:spPr>
        <a:xfrm>
          <a:off x="15664543" y="4164330"/>
          <a:ext cx="68380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20683</xdr:colOff>
      <xdr:row>21</xdr:row>
      <xdr:rowOff>99060</xdr:rowOff>
    </xdr:from>
    <xdr:to>
      <xdr:col>41</xdr:col>
      <xdr:colOff>124097</xdr:colOff>
      <xdr:row>21</xdr:row>
      <xdr:rowOff>99060</xdr:rowOff>
    </xdr:to>
    <xdr:cxnSp macro="">
      <xdr:nvCxnSpPr>
        <xdr:cNvPr id="24493" name="직선 화살표 연결선 24492"/>
        <xdr:cNvCxnSpPr/>
      </xdr:nvCxnSpPr>
      <xdr:spPr>
        <a:xfrm>
          <a:off x="15664543" y="4221480"/>
          <a:ext cx="68253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20683</xdr:colOff>
      <xdr:row>20</xdr:row>
      <xdr:rowOff>41910</xdr:rowOff>
    </xdr:from>
    <xdr:to>
      <xdr:col>51</xdr:col>
      <xdr:colOff>125366</xdr:colOff>
      <xdr:row>20</xdr:row>
      <xdr:rowOff>156210</xdr:rowOff>
    </xdr:to>
    <xdr:sp macro="" textlink="">
      <xdr:nvSpPr>
        <xdr:cNvPr id="24494" name="17"/>
        <xdr:cNvSpPr/>
      </xdr:nvSpPr>
      <xdr:spPr>
        <a:xfrm>
          <a:off x="15664543" y="3966210"/>
          <a:ext cx="213160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20683</xdr:colOff>
      <xdr:row>20</xdr:row>
      <xdr:rowOff>99060</xdr:rowOff>
    </xdr:from>
    <xdr:to>
      <xdr:col>45</xdr:col>
      <xdr:colOff>84303</xdr:colOff>
      <xdr:row>20</xdr:row>
      <xdr:rowOff>99060</xdr:rowOff>
    </xdr:to>
    <xdr:cxnSp macro="">
      <xdr:nvCxnSpPr>
        <xdr:cNvPr id="24495" name="직선 화살표 연결선 24494"/>
        <xdr:cNvCxnSpPr/>
      </xdr:nvCxnSpPr>
      <xdr:spPr>
        <a:xfrm>
          <a:off x="15664543" y="4023360"/>
          <a:ext cx="122186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62048</xdr:colOff>
      <xdr:row>19</xdr:row>
      <xdr:rowOff>41910</xdr:rowOff>
    </xdr:from>
    <xdr:to>
      <xdr:col>58</xdr:col>
      <xdr:colOff>84000</xdr:colOff>
      <xdr:row>19</xdr:row>
      <xdr:rowOff>156210</xdr:rowOff>
    </xdr:to>
    <xdr:sp macro="" textlink="">
      <xdr:nvSpPr>
        <xdr:cNvPr id="24496" name="16"/>
        <xdr:cNvSpPr/>
      </xdr:nvSpPr>
      <xdr:spPr>
        <a:xfrm>
          <a:off x="18746288" y="3768090"/>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58</xdr:col>
      <xdr:colOff>62048</xdr:colOff>
      <xdr:row>19</xdr:row>
      <xdr:rowOff>99060</xdr:rowOff>
    </xdr:from>
    <xdr:to>
      <xdr:col>58</xdr:col>
      <xdr:colOff>62048</xdr:colOff>
      <xdr:row>19</xdr:row>
      <xdr:rowOff>99060</xdr:rowOff>
    </xdr:to>
    <xdr:cxnSp macro="">
      <xdr:nvCxnSpPr>
        <xdr:cNvPr id="24497" name="직선 화살표 연결선 24496"/>
        <xdr:cNvCxnSpPr/>
      </xdr:nvCxnSpPr>
      <xdr:spPr>
        <a:xfrm>
          <a:off x="18746288" y="38252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62048</xdr:colOff>
      <xdr:row>18</xdr:row>
      <xdr:rowOff>41910</xdr:rowOff>
    </xdr:from>
    <xdr:to>
      <xdr:col>58</xdr:col>
      <xdr:colOff>84000</xdr:colOff>
      <xdr:row>18</xdr:row>
      <xdr:rowOff>156210</xdr:rowOff>
    </xdr:to>
    <xdr:sp macro="" textlink="">
      <xdr:nvSpPr>
        <xdr:cNvPr id="24498" name="15"/>
        <xdr:cNvSpPr/>
      </xdr:nvSpPr>
      <xdr:spPr>
        <a:xfrm>
          <a:off x="18746288" y="3569970"/>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58</xdr:col>
      <xdr:colOff>62048</xdr:colOff>
      <xdr:row>18</xdr:row>
      <xdr:rowOff>99060</xdr:rowOff>
    </xdr:from>
    <xdr:to>
      <xdr:col>58</xdr:col>
      <xdr:colOff>62048</xdr:colOff>
      <xdr:row>18</xdr:row>
      <xdr:rowOff>99060</xdr:rowOff>
    </xdr:to>
    <xdr:cxnSp macro="">
      <xdr:nvCxnSpPr>
        <xdr:cNvPr id="24499" name="직선 화살표 연결선 24498"/>
        <xdr:cNvCxnSpPr/>
      </xdr:nvCxnSpPr>
      <xdr:spPr>
        <a:xfrm>
          <a:off x="18746288" y="362712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103414</xdr:colOff>
      <xdr:row>17</xdr:row>
      <xdr:rowOff>41910</xdr:rowOff>
    </xdr:from>
    <xdr:to>
      <xdr:col>58</xdr:col>
      <xdr:colOff>63318</xdr:colOff>
      <xdr:row>17</xdr:row>
      <xdr:rowOff>156210</xdr:rowOff>
    </xdr:to>
    <xdr:sp macro="" textlink="">
      <xdr:nvSpPr>
        <xdr:cNvPr id="24500" name="14"/>
        <xdr:cNvSpPr/>
      </xdr:nvSpPr>
      <xdr:spPr>
        <a:xfrm>
          <a:off x="18642874" y="3371850"/>
          <a:ext cx="10468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57</xdr:col>
      <xdr:colOff>103414</xdr:colOff>
      <xdr:row>17</xdr:row>
      <xdr:rowOff>99060</xdr:rowOff>
    </xdr:from>
    <xdr:to>
      <xdr:col>57</xdr:col>
      <xdr:colOff>103414</xdr:colOff>
      <xdr:row>17</xdr:row>
      <xdr:rowOff>99060</xdr:rowOff>
    </xdr:to>
    <xdr:cxnSp macro="">
      <xdr:nvCxnSpPr>
        <xdr:cNvPr id="24501" name="직선 화살표 연결선 24500"/>
        <xdr:cNvCxnSpPr/>
      </xdr:nvCxnSpPr>
      <xdr:spPr>
        <a:xfrm>
          <a:off x="18642874" y="34290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103414</xdr:colOff>
      <xdr:row>16</xdr:row>
      <xdr:rowOff>41910</xdr:rowOff>
    </xdr:from>
    <xdr:to>
      <xdr:col>58</xdr:col>
      <xdr:colOff>84000</xdr:colOff>
      <xdr:row>16</xdr:row>
      <xdr:rowOff>156210</xdr:rowOff>
    </xdr:to>
    <xdr:sp macro="" textlink="">
      <xdr:nvSpPr>
        <xdr:cNvPr id="24502" name="13"/>
        <xdr:cNvSpPr/>
      </xdr:nvSpPr>
      <xdr:spPr>
        <a:xfrm>
          <a:off x="18642874" y="3173730"/>
          <a:ext cx="12536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57</xdr:col>
      <xdr:colOff>103414</xdr:colOff>
      <xdr:row>16</xdr:row>
      <xdr:rowOff>99060</xdr:rowOff>
    </xdr:from>
    <xdr:to>
      <xdr:col>57</xdr:col>
      <xdr:colOff>103414</xdr:colOff>
      <xdr:row>16</xdr:row>
      <xdr:rowOff>99060</xdr:rowOff>
    </xdr:to>
    <xdr:cxnSp macro="">
      <xdr:nvCxnSpPr>
        <xdr:cNvPr id="24503" name="직선 화살표 연결선 24502"/>
        <xdr:cNvCxnSpPr/>
      </xdr:nvCxnSpPr>
      <xdr:spPr>
        <a:xfrm>
          <a:off x="18642874" y="32308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50</xdr:col>
      <xdr:colOff>82731</xdr:colOff>
      <xdr:row>15</xdr:row>
      <xdr:rowOff>41910</xdr:rowOff>
    </xdr:from>
    <xdr:to>
      <xdr:col>50</xdr:col>
      <xdr:colOff>104684</xdr:colOff>
      <xdr:row>15</xdr:row>
      <xdr:rowOff>156210</xdr:rowOff>
    </xdr:to>
    <xdr:sp macro="" textlink="">
      <xdr:nvSpPr>
        <xdr:cNvPr id="24504" name="12"/>
        <xdr:cNvSpPr/>
      </xdr:nvSpPr>
      <xdr:spPr>
        <a:xfrm>
          <a:off x="17608731" y="2975610"/>
          <a:ext cx="2195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50</xdr:col>
      <xdr:colOff>82731</xdr:colOff>
      <xdr:row>15</xdr:row>
      <xdr:rowOff>99060</xdr:rowOff>
    </xdr:from>
    <xdr:to>
      <xdr:col>50</xdr:col>
      <xdr:colOff>82731</xdr:colOff>
      <xdr:row>15</xdr:row>
      <xdr:rowOff>99060</xdr:rowOff>
    </xdr:to>
    <xdr:cxnSp macro="">
      <xdr:nvCxnSpPr>
        <xdr:cNvPr id="24505" name="직선 화살표 연결선 24504"/>
        <xdr:cNvCxnSpPr/>
      </xdr:nvCxnSpPr>
      <xdr:spPr>
        <a:xfrm>
          <a:off x="17608731" y="303276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62049</xdr:colOff>
      <xdr:row>14</xdr:row>
      <xdr:rowOff>41910</xdr:rowOff>
    </xdr:from>
    <xdr:to>
      <xdr:col>44</xdr:col>
      <xdr:colOff>84001</xdr:colOff>
      <xdr:row>14</xdr:row>
      <xdr:rowOff>156210</xdr:rowOff>
    </xdr:to>
    <xdr:sp macro="" textlink="">
      <xdr:nvSpPr>
        <xdr:cNvPr id="24506" name="11"/>
        <xdr:cNvSpPr/>
      </xdr:nvSpPr>
      <xdr:spPr>
        <a:xfrm>
          <a:off x="16719369" y="2777490"/>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44</xdr:col>
      <xdr:colOff>62049</xdr:colOff>
      <xdr:row>14</xdr:row>
      <xdr:rowOff>99060</xdr:rowOff>
    </xdr:from>
    <xdr:to>
      <xdr:col>44</xdr:col>
      <xdr:colOff>82731</xdr:colOff>
      <xdr:row>14</xdr:row>
      <xdr:rowOff>99060</xdr:rowOff>
    </xdr:to>
    <xdr:cxnSp macro="">
      <xdr:nvCxnSpPr>
        <xdr:cNvPr id="24507" name="직선 화살표 연결선 24506"/>
        <xdr:cNvCxnSpPr/>
      </xdr:nvCxnSpPr>
      <xdr:spPr>
        <a:xfrm>
          <a:off x="16719369" y="2834640"/>
          <a:ext cx="2068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62049</xdr:colOff>
      <xdr:row>13</xdr:row>
      <xdr:rowOff>41910</xdr:rowOff>
    </xdr:from>
    <xdr:to>
      <xdr:col>40</xdr:col>
      <xdr:colOff>84001</xdr:colOff>
      <xdr:row>13</xdr:row>
      <xdr:rowOff>156210</xdr:rowOff>
    </xdr:to>
    <xdr:sp macro="" textlink="">
      <xdr:nvSpPr>
        <xdr:cNvPr id="24508" name="10"/>
        <xdr:cNvSpPr/>
      </xdr:nvSpPr>
      <xdr:spPr>
        <a:xfrm>
          <a:off x="16140249" y="2579370"/>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62049</xdr:colOff>
      <xdr:row>13</xdr:row>
      <xdr:rowOff>99060</xdr:rowOff>
    </xdr:from>
    <xdr:to>
      <xdr:col>40</xdr:col>
      <xdr:colOff>82731</xdr:colOff>
      <xdr:row>13</xdr:row>
      <xdr:rowOff>99060</xdr:rowOff>
    </xdr:to>
    <xdr:cxnSp macro="">
      <xdr:nvCxnSpPr>
        <xdr:cNvPr id="24509" name="직선 화살표 연결선 24508"/>
        <xdr:cNvCxnSpPr/>
      </xdr:nvCxnSpPr>
      <xdr:spPr>
        <a:xfrm>
          <a:off x="16140249" y="2636520"/>
          <a:ext cx="2068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62049</xdr:colOff>
      <xdr:row>12</xdr:row>
      <xdr:rowOff>41910</xdr:rowOff>
    </xdr:from>
    <xdr:to>
      <xdr:col>36</xdr:col>
      <xdr:colOff>84001</xdr:colOff>
      <xdr:row>12</xdr:row>
      <xdr:rowOff>156210</xdr:rowOff>
    </xdr:to>
    <xdr:sp macro="" textlink="">
      <xdr:nvSpPr>
        <xdr:cNvPr id="24510" name="9"/>
        <xdr:cNvSpPr/>
      </xdr:nvSpPr>
      <xdr:spPr>
        <a:xfrm>
          <a:off x="15561129" y="2381250"/>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62049</xdr:colOff>
      <xdr:row>12</xdr:row>
      <xdr:rowOff>99060</xdr:rowOff>
    </xdr:from>
    <xdr:to>
      <xdr:col>36</xdr:col>
      <xdr:colOff>82732</xdr:colOff>
      <xdr:row>12</xdr:row>
      <xdr:rowOff>99060</xdr:rowOff>
    </xdr:to>
    <xdr:cxnSp macro="">
      <xdr:nvCxnSpPr>
        <xdr:cNvPr id="24511" name="직선 화살표 연결선 24510"/>
        <xdr:cNvCxnSpPr/>
      </xdr:nvCxnSpPr>
      <xdr:spPr>
        <a:xfrm>
          <a:off x="15561129" y="2438400"/>
          <a:ext cx="2068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62049</xdr:colOff>
      <xdr:row>11</xdr:row>
      <xdr:rowOff>41910</xdr:rowOff>
    </xdr:from>
    <xdr:to>
      <xdr:col>31</xdr:col>
      <xdr:colOff>84001</xdr:colOff>
      <xdr:row>11</xdr:row>
      <xdr:rowOff>156210</xdr:rowOff>
    </xdr:to>
    <xdr:sp macro="" textlink="">
      <xdr:nvSpPr>
        <xdr:cNvPr id="24512" name="8"/>
        <xdr:cNvSpPr/>
      </xdr:nvSpPr>
      <xdr:spPr>
        <a:xfrm>
          <a:off x="14837229" y="2183130"/>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62049</xdr:colOff>
      <xdr:row>11</xdr:row>
      <xdr:rowOff>99060</xdr:rowOff>
    </xdr:from>
    <xdr:to>
      <xdr:col>31</xdr:col>
      <xdr:colOff>82732</xdr:colOff>
      <xdr:row>11</xdr:row>
      <xdr:rowOff>99060</xdr:rowOff>
    </xdr:to>
    <xdr:cxnSp macro="">
      <xdr:nvCxnSpPr>
        <xdr:cNvPr id="24513" name="직선 화살표 연결선 24512"/>
        <xdr:cNvCxnSpPr/>
      </xdr:nvCxnSpPr>
      <xdr:spPr>
        <a:xfrm>
          <a:off x="14837229" y="2240280"/>
          <a:ext cx="2068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62049</xdr:colOff>
      <xdr:row>10</xdr:row>
      <xdr:rowOff>41910</xdr:rowOff>
    </xdr:from>
    <xdr:to>
      <xdr:col>50</xdr:col>
      <xdr:colOff>104684</xdr:colOff>
      <xdr:row>10</xdr:row>
      <xdr:rowOff>156210</xdr:rowOff>
    </xdr:to>
    <xdr:sp macro="" textlink="">
      <xdr:nvSpPr>
        <xdr:cNvPr id="24514" name="7"/>
        <xdr:cNvSpPr/>
      </xdr:nvSpPr>
      <xdr:spPr>
        <a:xfrm>
          <a:off x="14837229" y="1985010"/>
          <a:ext cx="279345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62049</xdr:colOff>
      <xdr:row>10</xdr:row>
      <xdr:rowOff>99060</xdr:rowOff>
    </xdr:from>
    <xdr:to>
      <xdr:col>46</xdr:col>
      <xdr:colOff>124097</xdr:colOff>
      <xdr:row>10</xdr:row>
      <xdr:rowOff>99060</xdr:rowOff>
    </xdr:to>
    <xdr:cxnSp macro="">
      <xdr:nvCxnSpPr>
        <xdr:cNvPr id="24515" name="직선 화살표 연결선 24514"/>
        <xdr:cNvCxnSpPr/>
      </xdr:nvCxnSpPr>
      <xdr:spPr>
        <a:xfrm>
          <a:off x="14837229" y="2042160"/>
          <a:ext cx="223374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41366</xdr:colOff>
      <xdr:row>9</xdr:row>
      <xdr:rowOff>41910</xdr:rowOff>
    </xdr:from>
    <xdr:to>
      <xdr:col>42</xdr:col>
      <xdr:colOff>63318</xdr:colOff>
      <xdr:row>9</xdr:row>
      <xdr:rowOff>156210</xdr:rowOff>
    </xdr:to>
    <xdr:sp macro="" textlink="">
      <xdr:nvSpPr>
        <xdr:cNvPr id="24516" name="6"/>
        <xdr:cNvSpPr/>
      </xdr:nvSpPr>
      <xdr:spPr>
        <a:xfrm>
          <a:off x="16409126" y="1786890"/>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42</xdr:col>
      <xdr:colOff>41366</xdr:colOff>
      <xdr:row>9</xdr:row>
      <xdr:rowOff>99060</xdr:rowOff>
    </xdr:from>
    <xdr:to>
      <xdr:col>42</xdr:col>
      <xdr:colOff>62048</xdr:colOff>
      <xdr:row>9</xdr:row>
      <xdr:rowOff>99060</xdr:rowOff>
    </xdr:to>
    <xdr:cxnSp macro="">
      <xdr:nvCxnSpPr>
        <xdr:cNvPr id="24517" name="직선 화살표 연결선 24516"/>
        <xdr:cNvCxnSpPr/>
      </xdr:nvCxnSpPr>
      <xdr:spPr>
        <a:xfrm>
          <a:off x="16409126" y="1844040"/>
          <a:ext cx="2068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62048</xdr:colOff>
      <xdr:row>8</xdr:row>
      <xdr:rowOff>41910</xdr:rowOff>
    </xdr:from>
    <xdr:to>
      <xdr:col>42</xdr:col>
      <xdr:colOff>63318</xdr:colOff>
      <xdr:row>8</xdr:row>
      <xdr:rowOff>156210</xdr:rowOff>
    </xdr:to>
    <xdr:sp macro="" textlink="">
      <xdr:nvSpPr>
        <xdr:cNvPr id="24518" name="5"/>
        <xdr:cNvSpPr/>
      </xdr:nvSpPr>
      <xdr:spPr>
        <a:xfrm>
          <a:off x="15705908" y="1588770"/>
          <a:ext cx="7251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62048</xdr:colOff>
      <xdr:row>8</xdr:row>
      <xdr:rowOff>99060</xdr:rowOff>
    </xdr:from>
    <xdr:to>
      <xdr:col>42</xdr:col>
      <xdr:colOff>62048</xdr:colOff>
      <xdr:row>8</xdr:row>
      <xdr:rowOff>99060</xdr:rowOff>
    </xdr:to>
    <xdr:cxnSp macro="">
      <xdr:nvCxnSpPr>
        <xdr:cNvPr id="24519" name="직선 화살표 연결선 24518"/>
        <xdr:cNvCxnSpPr/>
      </xdr:nvCxnSpPr>
      <xdr:spPr>
        <a:xfrm>
          <a:off x="15705908" y="1645920"/>
          <a:ext cx="7239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62048</xdr:colOff>
      <xdr:row>7</xdr:row>
      <xdr:rowOff>41910</xdr:rowOff>
    </xdr:from>
    <xdr:to>
      <xdr:col>42</xdr:col>
      <xdr:colOff>63318</xdr:colOff>
      <xdr:row>7</xdr:row>
      <xdr:rowOff>156210</xdr:rowOff>
    </xdr:to>
    <xdr:sp macro="" textlink="">
      <xdr:nvSpPr>
        <xdr:cNvPr id="24520" name="4"/>
        <xdr:cNvSpPr/>
      </xdr:nvSpPr>
      <xdr:spPr>
        <a:xfrm>
          <a:off x="15705908" y="1390650"/>
          <a:ext cx="72517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62048</xdr:colOff>
      <xdr:row>7</xdr:row>
      <xdr:rowOff>99060</xdr:rowOff>
    </xdr:from>
    <xdr:to>
      <xdr:col>42</xdr:col>
      <xdr:colOff>62048</xdr:colOff>
      <xdr:row>7</xdr:row>
      <xdr:rowOff>99060</xdr:rowOff>
    </xdr:to>
    <xdr:cxnSp macro="">
      <xdr:nvCxnSpPr>
        <xdr:cNvPr id="24521" name="직선 화살표 연결선 24520"/>
        <xdr:cNvCxnSpPr/>
      </xdr:nvCxnSpPr>
      <xdr:spPr>
        <a:xfrm>
          <a:off x="15705908" y="1447800"/>
          <a:ext cx="7239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62049</xdr:colOff>
      <xdr:row>6</xdr:row>
      <xdr:rowOff>41910</xdr:rowOff>
    </xdr:from>
    <xdr:to>
      <xdr:col>37</xdr:col>
      <xdr:colOff>84002</xdr:colOff>
      <xdr:row>6</xdr:row>
      <xdr:rowOff>156210</xdr:rowOff>
    </xdr:to>
    <xdr:sp macro="" textlink="">
      <xdr:nvSpPr>
        <xdr:cNvPr id="24522" name="3"/>
        <xdr:cNvSpPr/>
      </xdr:nvSpPr>
      <xdr:spPr>
        <a:xfrm>
          <a:off x="14837229" y="1192530"/>
          <a:ext cx="89063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62049</xdr:colOff>
      <xdr:row>6</xdr:row>
      <xdr:rowOff>99060</xdr:rowOff>
    </xdr:from>
    <xdr:to>
      <xdr:col>37</xdr:col>
      <xdr:colOff>82732</xdr:colOff>
      <xdr:row>6</xdr:row>
      <xdr:rowOff>99060</xdr:rowOff>
    </xdr:to>
    <xdr:cxnSp macro="">
      <xdr:nvCxnSpPr>
        <xdr:cNvPr id="24523" name="직선 화살표 연결선 24522"/>
        <xdr:cNvCxnSpPr/>
      </xdr:nvCxnSpPr>
      <xdr:spPr>
        <a:xfrm>
          <a:off x="14837229" y="1249680"/>
          <a:ext cx="88936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62049</xdr:colOff>
      <xdr:row>5</xdr:row>
      <xdr:rowOff>41910</xdr:rowOff>
    </xdr:from>
    <xdr:to>
      <xdr:col>42</xdr:col>
      <xdr:colOff>63318</xdr:colOff>
      <xdr:row>5</xdr:row>
      <xdr:rowOff>156210</xdr:rowOff>
    </xdr:to>
    <xdr:sp macro="" textlink="">
      <xdr:nvSpPr>
        <xdr:cNvPr id="24524" name="2"/>
        <xdr:cNvSpPr/>
      </xdr:nvSpPr>
      <xdr:spPr>
        <a:xfrm>
          <a:off x="14837229" y="994410"/>
          <a:ext cx="159384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62049</xdr:colOff>
      <xdr:row>5</xdr:row>
      <xdr:rowOff>99060</xdr:rowOff>
    </xdr:from>
    <xdr:to>
      <xdr:col>42</xdr:col>
      <xdr:colOff>62048</xdr:colOff>
      <xdr:row>5</xdr:row>
      <xdr:rowOff>99060</xdr:rowOff>
    </xdr:to>
    <xdr:cxnSp macro="">
      <xdr:nvCxnSpPr>
        <xdr:cNvPr id="24525" name="직선 화살표 연결선 24524"/>
        <xdr:cNvCxnSpPr/>
      </xdr:nvCxnSpPr>
      <xdr:spPr>
        <a:xfrm>
          <a:off x="14837229" y="1051560"/>
          <a:ext cx="159257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62049</xdr:colOff>
      <xdr:row>4</xdr:row>
      <xdr:rowOff>41910</xdr:rowOff>
    </xdr:from>
    <xdr:to>
      <xdr:col>58</xdr:col>
      <xdr:colOff>84000</xdr:colOff>
      <xdr:row>4</xdr:row>
      <xdr:rowOff>156210</xdr:rowOff>
    </xdr:to>
    <xdr:sp macro="" textlink="">
      <xdr:nvSpPr>
        <xdr:cNvPr id="24526" name="1"/>
        <xdr:cNvSpPr/>
      </xdr:nvSpPr>
      <xdr:spPr>
        <a:xfrm>
          <a:off x="14837229" y="796290"/>
          <a:ext cx="393101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62049</xdr:colOff>
      <xdr:row>4</xdr:row>
      <xdr:rowOff>99060</xdr:rowOff>
    </xdr:from>
    <xdr:to>
      <xdr:col>56</xdr:col>
      <xdr:colOff>9545</xdr:colOff>
      <xdr:row>4</xdr:row>
      <xdr:rowOff>99060</xdr:rowOff>
    </xdr:to>
    <xdr:cxnSp macro="">
      <xdr:nvCxnSpPr>
        <xdr:cNvPr id="24527" name="직선 화살표 연결선 24526"/>
        <xdr:cNvCxnSpPr/>
      </xdr:nvCxnSpPr>
      <xdr:spPr>
        <a:xfrm>
          <a:off x="14837229" y="853440"/>
          <a:ext cx="356699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12</xdr:col>
      <xdr:colOff>173831</xdr:colOff>
      <xdr:row>5</xdr:row>
      <xdr:rowOff>0</xdr:rowOff>
    </xdr:from>
    <xdr:to>
      <xdr:col>18</xdr:col>
      <xdr:colOff>573881</xdr:colOff>
      <xdr:row>17</xdr:row>
      <xdr:rowOff>76200</xdr:rowOff>
    </xdr:to>
    <xdr:graphicFrame macro="">
      <xdr:nvGraphicFramePr>
        <xdr:cNvPr id="4" name="차트 3">
          <a:extLst>
            <a:ext uri="{FF2B5EF4-FFF2-40B4-BE49-F238E27FC236}">
              <a16:creationId xmlns:a16="http://schemas.microsoft.com/office/drawing/2014/main" id="{37EB1700-8C51-43F5-A2DC-A0D99AB797C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50641;&#49472;&#51089;&#50629;/@&#50641;&#49472;&#51068;&#51221;&#44288;&#47532;/@XLGantt/XLGantt.&#44060;&#48156;&#48376;/backup/XLGantt_v1.1.0_20170503.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chedule"/>
      <sheetName val="Progress"/>
      <sheetName val="AnalysisReport"/>
      <sheetName val="Calendar"/>
      <sheetName val="Workload"/>
      <sheetName val="Settings"/>
      <sheetName val="TranslatedLanguages"/>
    </sheetNames>
    <sheetDataSet>
      <sheetData sheetId="0"/>
      <sheetData sheetId="1">
        <row r="18">
          <cell r="B18">
            <v>0.21794871794871795</v>
          </cell>
        </row>
        <row r="21">
          <cell r="B21">
            <v>0.15480769230769229</v>
          </cell>
        </row>
      </sheetData>
      <sheetData sheetId="2"/>
      <sheetData sheetId="3">
        <row r="5">
          <cell r="B5">
            <v>42370</v>
          </cell>
        </row>
        <row r="6">
          <cell r="B6">
            <v>42371</v>
          </cell>
        </row>
        <row r="7">
          <cell r="B7">
            <v>42372</v>
          </cell>
        </row>
        <row r="8">
          <cell r="B8">
            <v>42378</v>
          </cell>
        </row>
        <row r="9">
          <cell r="B9">
            <v>42379</v>
          </cell>
        </row>
        <row r="10">
          <cell r="B10">
            <v>42385</v>
          </cell>
        </row>
        <row r="11">
          <cell r="B11">
            <v>42386</v>
          </cell>
        </row>
        <row r="12">
          <cell r="B12">
            <v>42392</v>
          </cell>
        </row>
        <row r="13">
          <cell r="B13">
            <v>42393</v>
          </cell>
        </row>
        <row r="14">
          <cell r="B14">
            <v>42399</v>
          </cell>
        </row>
        <row r="15">
          <cell r="B15">
            <v>42400</v>
          </cell>
        </row>
        <row r="16">
          <cell r="B16">
            <v>42406</v>
          </cell>
        </row>
        <row r="17">
          <cell r="B17">
            <v>42407</v>
          </cell>
        </row>
        <row r="18">
          <cell r="B18">
            <v>42408</v>
          </cell>
        </row>
        <row r="19">
          <cell r="B19">
            <v>42409</v>
          </cell>
        </row>
        <row r="20">
          <cell r="B20">
            <v>42410</v>
          </cell>
        </row>
        <row r="21">
          <cell r="B21">
            <v>42413</v>
          </cell>
        </row>
        <row r="22">
          <cell r="B22">
            <v>42414</v>
          </cell>
        </row>
        <row r="23">
          <cell r="B23">
            <v>42420</v>
          </cell>
        </row>
        <row r="24">
          <cell r="B24">
            <v>42421</v>
          </cell>
        </row>
        <row r="25">
          <cell r="B25">
            <v>42427</v>
          </cell>
        </row>
        <row r="26">
          <cell r="B26">
            <v>42428</v>
          </cell>
        </row>
        <row r="27">
          <cell r="B27">
            <v>42430</v>
          </cell>
        </row>
        <row r="28">
          <cell r="B28">
            <v>42434</v>
          </cell>
        </row>
        <row r="29">
          <cell r="B29">
            <v>42435</v>
          </cell>
        </row>
        <row r="30">
          <cell r="B30">
            <v>42441</v>
          </cell>
        </row>
        <row r="31">
          <cell r="B31">
            <v>42442</v>
          </cell>
        </row>
        <row r="32">
          <cell r="B32">
            <v>42448</v>
          </cell>
        </row>
        <row r="33">
          <cell r="B33">
            <v>42449</v>
          </cell>
        </row>
        <row r="34">
          <cell r="B34">
            <v>42455</v>
          </cell>
        </row>
        <row r="35">
          <cell r="B35">
            <v>42456</v>
          </cell>
        </row>
        <row r="36">
          <cell r="B36">
            <v>42462</v>
          </cell>
        </row>
        <row r="37">
          <cell r="B37">
            <v>42463</v>
          </cell>
        </row>
        <row r="38">
          <cell r="B38">
            <v>42469</v>
          </cell>
        </row>
        <row r="39">
          <cell r="B39">
            <v>42470</v>
          </cell>
        </row>
        <row r="40">
          <cell r="B40">
            <v>42473</v>
          </cell>
        </row>
        <row r="41">
          <cell r="B41">
            <v>42476</v>
          </cell>
        </row>
        <row r="42">
          <cell r="B42">
            <v>42477</v>
          </cell>
        </row>
        <row r="43">
          <cell r="B43">
            <v>42483</v>
          </cell>
        </row>
        <row r="44">
          <cell r="B44">
            <v>42484</v>
          </cell>
        </row>
        <row r="45">
          <cell r="B45">
            <v>42490</v>
          </cell>
        </row>
        <row r="46">
          <cell r="B46">
            <v>42491</v>
          </cell>
        </row>
        <row r="47">
          <cell r="B47">
            <v>42495</v>
          </cell>
        </row>
        <row r="48">
          <cell r="B48">
            <v>42497</v>
          </cell>
        </row>
        <row r="49">
          <cell r="B49">
            <v>42498</v>
          </cell>
        </row>
        <row r="50">
          <cell r="B50">
            <v>42504</v>
          </cell>
        </row>
        <row r="51">
          <cell r="B51">
            <v>42505</v>
          </cell>
        </row>
        <row r="52">
          <cell r="B52">
            <v>42511</v>
          </cell>
        </row>
        <row r="53">
          <cell r="B53">
            <v>42512</v>
          </cell>
        </row>
        <row r="54">
          <cell r="B54">
            <v>42518</v>
          </cell>
        </row>
        <row r="55">
          <cell r="B55">
            <v>42519</v>
          </cell>
        </row>
        <row r="56">
          <cell r="B56">
            <v>42525</v>
          </cell>
        </row>
        <row r="57">
          <cell r="B57">
            <v>42526</v>
          </cell>
        </row>
        <row r="58">
          <cell r="B58">
            <v>42527</v>
          </cell>
        </row>
        <row r="59">
          <cell r="B59">
            <v>42532</v>
          </cell>
        </row>
        <row r="60">
          <cell r="B60">
            <v>42533</v>
          </cell>
        </row>
        <row r="61">
          <cell r="B61">
            <v>42539</v>
          </cell>
        </row>
        <row r="62">
          <cell r="B62">
            <v>42540</v>
          </cell>
        </row>
        <row r="63">
          <cell r="B63">
            <v>42546</v>
          </cell>
        </row>
        <row r="64">
          <cell r="B64">
            <v>42547</v>
          </cell>
        </row>
        <row r="65">
          <cell r="B65">
            <v>42553</v>
          </cell>
        </row>
        <row r="66">
          <cell r="B66">
            <v>42554</v>
          </cell>
        </row>
        <row r="67">
          <cell r="B67">
            <v>42560</v>
          </cell>
        </row>
        <row r="68">
          <cell r="B68">
            <v>42561</v>
          </cell>
        </row>
        <row r="69">
          <cell r="B69">
            <v>42567</v>
          </cell>
        </row>
        <row r="70">
          <cell r="B70">
            <v>42568</v>
          </cell>
        </row>
        <row r="71">
          <cell r="B71">
            <v>42574</v>
          </cell>
        </row>
        <row r="72">
          <cell r="B72">
            <v>42575</v>
          </cell>
        </row>
        <row r="73">
          <cell r="B73">
            <v>42581</v>
          </cell>
        </row>
        <row r="74">
          <cell r="B74">
            <v>42582</v>
          </cell>
        </row>
        <row r="75">
          <cell r="B75">
            <v>42588</v>
          </cell>
        </row>
        <row r="76">
          <cell r="B76">
            <v>42589</v>
          </cell>
        </row>
        <row r="77">
          <cell r="B77">
            <v>42595</v>
          </cell>
        </row>
        <row r="78">
          <cell r="B78">
            <v>42596</v>
          </cell>
        </row>
        <row r="79">
          <cell r="B79">
            <v>42597</v>
          </cell>
        </row>
        <row r="80">
          <cell r="B80">
            <v>42602</v>
          </cell>
        </row>
        <row r="81">
          <cell r="B81">
            <v>42603</v>
          </cell>
        </row>
        <row r="82">
          <cell r="B82">
            <v>42609</v>
          </cell>
        </row>
        <row r="83">
          <cell r="B83">
            <v>42610</v>
          </cell>
        </row>
        <row r="84">
          <cell r="B84">
            <v>42616</v>
          </cell>
        </row>
        <row r="85">
          <cell r="B85">
            <v>42617</v>
          </cell>
        </row>
        <row r="86">
          <cell r="B86">
            <v>42623</v>
          </cell>
        </row>
        <row r="87">
          <cell r="B87">
            <v>42624</v>
          </cell>
        </row>
        <row r="88">
          <cell r="B88">
            <v>42627</v>
          </cell>
        </row>
        <row r="89">
          <cell r="B89">
            <v>42628</v>
          </cell>
        </row>
        <row r="90">
          <cell r="B90">
            <v>42629</v>
          </cell>
        </row>
        <row r="91">
          <cell r="B91">
            <v>42630</v>
          </cell>
        </row>
        <row r="92">
          <cell r="B92">
            <v>42631</v>
          </cell>
        </row>
        <row r="93">
          <cell r="B93">
            <v>42637</v>
          </cell>
        </row>
        <row r="94">
          <cell r="B94">
            <v>42638</v>
          </cell>
        </row>
        <row r="95">
          <cell r="B95">
            <v>42644</v>
          </cell>
        </row>
        <row r="96">
          <cell r="B96">
            <v>42645</v>
          </cell>
        </row>
        <row r="97">
          <cell r="B97">
            <v>42646</v>
          </cell>
        </row>
        <row r="98">
          <cell r="B98">
            <v>42651</v>
          </cell>
        </row>
        <row r="99">
          <cell r="B99">
            <v>42652</v>
          </cell>
        </row>
        <row r="100">
          <cell r="B100">
            <v>42658</v>
          </cell>
        </row>
        <row r="101">
          <cell r="B101">
            <v>42659</v>
          </cell>
        </row>
        <row r="102">
          <cell r="B102">
            <v>42665</v>
          </cell>
        </row>
        <row r="103">
          <cell r="B103">
            <v>42666</v>
          </cell>
        </row>
        <row r="104">
          <cell r="B104">
            <v>42672</v>
          </cell>
        </row>
        <row r="105">
          <cell r="B105">
            <v>42673</v>
          </cell>
        </row>
        <row r="106">
          <cell r="B106">
            <v>42679</v>
          </cell>
        </row>
        <row r="107">
          <cell r="B107">
            <v>42680</v>
          </cell>
        </row>
        <row r="108">
          <cell r="B108">
            <v>42686</v>
          </cell>
        </row>
        <row r="109">
          <cell r="B109">
            <v>42687</v>
          </cell>
        </row>
        <row r="110">
          <cell r="B110">
            <v>42693</v>
          </cell>
        </row>
        <row r="111">
          <cell r="B111">
            <v>42694</v>
          </cell>
        </row>
        <row r="112">
          <cell r="B112">
            <v>42700</v>
          </cell>
        </row>
        <row r="113">
          <cell r="B113">
            <v>42701</v>
          </cell>
        </row>
        <row r="114">
          <cell r="B114">
            <v>42707</v>
          </cell>
        </row>
        <row r="115">
          <cell r="B115">
            <v>42708</v>
          </cell>
        </row>
        <row r="116">
          <cell r="B116">
            <v>42714</v>
          </cell>
        </row>
        <row r="117">
          <cell r="B117">
            <v>42715</v>
          </cell>
        </row>
        <row r="118">
          <cell r="B118">
            <v>42721</v>
          </cell>
        </row>
        <row r="119">
          <cell r="B119">
            <v>42722</v>
          </cell>
        </row>
        <row r="120">
          <cell r="B120">
            <v>42728</v>
          </cell>
        </row>
        <row r="121">
          <cell r="B121">
            <v>42729</v>
          </cell>
        </row>
        <row r="122">
          <cell r="B122">
            <v>42735</v>
          </cell>
        </row>
        <row r="123">
          <cell r="B123">
            <v>42736</v>
          </cell>
        </row>
        <row r="124">
          <cell r="B124">
            <v>42742</v>
          </cell>
        </row>
        <row r="125">
          <cell r="B125">
            <v>42743</v>
          </cell>
        </row>
        <row r="126">
          <cell r="B126">
            <v>42749</v>
          </cell>
        </row>
        <row r="127">
          <cell r="B127">
            <v>42750</v>
          </cell>
        </row>
        <row r="128">
          <cell r="B128">
            <v>42756</v>
          </cell>
        </row>
        <row r="129">
          <cell r="B129">
            <v>42757</v>
          </cell>
        </row>
        <row r="130">
          <cell r="B130">
            <v>42762</v>
          </cell>
        </row>
        <row r="131">
          <cell r="B131">
            <v>42763</v>
          </cell>
        </row>
        <row r="132">
          <cell r="B132">
            <v>42764</v>
          </cell>
        </row>
        <row r="133">
          <cell r="B133">
            <v>42765</v>
          </cell>
        </row>
        <row r="134">
          <cell r="B134">
            <v>42770</v>
          </cell>
        </row>
        <row r="135">
          <cell r="B135">
            <v>42771</v>
          </cell>
        </row>
        <row r="136">
          <cell r="B136">
            <v>42777</v>
          </cell>
        </row>
        <row r="137">
          <cell r="B137">
            <v>42778</v>
          </cell>
        </row>
        <row r="138">
          <cell r="B138">
            <v>42784</v>
          </cell>
        </row>
        <row r="139">
          <cell r="B139">
            <v>42785</v>
          </cell>
        </row>
        <row r="140">
          <cell r="B140">
            <v>42791</v>
          </cell>
        </row>
        <row r="141">
          <cell r="B141">
            <v>42792</v>
          </cell>
        </row>
        <row r="142">
          <cell r="B142">
            <v>42795</v>
          </cell>
        </row>
        <row r="143">
          <cell r="B143">
            <v>42798</v>
          </cell>
        </row>
        <row r="144">
          <cell r="B144">
            <v>42799</v>
          </cell>
        </row>
        <row r="145">
          <cell r="B145">
            <v>42805</v>
          </cell>
        </row>
        <row r="146">
          <cell r="B146">
            <v>42806</v>
          </cell>
        </row>
        <row r="147">
          <cell r="B147">
            <v>42812</v>
          </cell>
        </row>
        <row r="148">
          <cell r="B148">
            <v>42813</v>
          </cell>
        </row>
        <row r="149">
          <cell r="B149">
            <v>42819</v>
          </cell>
        </row>
        <row r="150">
          <cell r="B150">
            <v>42820</v>
          </cell>
        </row>
        <row r="151">
          <cell r="B151">
            <v>42826</v>
          </cell>
        </row>
        <row r="152">
          <cell r="B152">
            <v>42827</v>
          </cell>
        </row>
        <row r="153">
          <cell r="B153">
            <v>42833</v>
          </cell>
        </row>
        <row r="154">
          <cell r="B154">
            <v>42834</v>
          </cell>
        </row>
        <row r="155">
          <cell r="B155">
            <v>42840</v>
          </cell>
        </row>
        <row r="156">
          <cell r="B156">
            <v>42841</v>
          </cell>
        </row>
        <row r="157">
          <cell r="B157">
            <v>42847</v>
          </cell>
        </row>
        <row r="158">
          <cell r="B158">
            <v>42848</v>
          </cell>
        </row>
        <row r="159">
          <cell r="B159">
            <v>42854</v>
          </cell>
        </row>
        <row r="160">
          <cell r="B160">
            <v>42855</v>
          </cell>
        </row>
        <row r="161">
          <cell r="B161">
            <v>42858</v>
          </cell>
        </row>
        <row r="162">
          <cell r="B162">
            <v>42860</v>
          </cell>
        </row>
        <row r="163">
          <cell r="B163">
            <v>42861</v>
          </cell>
        </row>
        <row r="164">
          <cell r="B164">
            <v>42862</v>
          </cell>
        </row>
        <row r="165">
          <cell r="B165">
            <v>42864</v>
          </cell>
        </row>
        <row r="166">
          <cell r="B166">
            <v>42868</v>
          </cell>
        </row>
        <row r="167">
          <cell r="B167">
            <v>42869</v>
          </cell>
        </row>
        <row r="168">
          <cell r="B168">
            <v>42875</v>
          </cell>
        </row>
        <row r="169">
          <cell r="B169">
            <v>42876</v>
          </cell>
        </row>
        <row r="170">
          <cell r="B170">
            <v>42882</v>
          </cell>
        </row>
        <row r="171">
          <cell r="B171">
            <v>42883</v>
          </cell>
        </row>
        <row r="172">
          <cell r="B172">
            <v>42889</v>
          </cell>
        </row>
        <row r="173">
          <cell r="B173">
            <v>42890</v>
          </cell>
        </row>
        <row r="174">
          <cell r="B174">
            <v>42892</v>
          </cell>
        </row>
        <row r="175">
          <cell r="B175">
            <v>42896</v>
          </cell>
        </row>
        <row r="176">
          <cell r="B176">
            <v>42897</v>
          </cell>
        </row>
        <row r="177">
          <cell r="B177">
            <v>42903</v>
          </cell>
        </row>
        <row r="178">
          <cell r="B178">
            <v>42904</v>
          </cell>
        </row>
        <row r="179">
          <cell r="B179">
            <v>42910</v>
          </cell>
        </row>
        <row r="180">
          <cell r="B180">
            <v>42911</v>
          </cell>
        </row>
        <row r="181">
          <cell r="B181">
            <v>42917</v>
          </cell>
        </row>
        <row r="182">
          <cell r="B182">
            <v>42918</v>
          </cell>
        </row>
        <row r="183">
          <cell r="B183">
            <v>42924</v>
          </cell>
        </row>
        <row r="184">
          <cell r="B184">
            <v>42925</v>
          </cell>
        </row>
        <row r="185">
          <cell r="B185">
            <v>42931</v>
          </cell>
        </row>
        <row r="186">
          <cell r="B186">
            <v>42932</v>
          </cell>
        </row>
        <row r="187">
          <cell r="B187">
            <v>42938</v>
          </cell>
        </row>
        <row r="188">
          <cell r="B188">
            <v>42939</v>
          </cell>
        </row>
        <row r="189">
          <cell r="B189">
            <v>42945</v>
          </cell>
        </row>
        <row r="190">
          <cell r="B190">
            <v>42946</v>
          </cell>
        </row>
        <row r="191">
          <cell r="B191">
            <v>42952</v>
          </cell>
        </row>
        <row r="192">
          <cell r="B192">
            <v>42953</v>
          </cell>
        </row>
        <row r="193">
          <cell r="B193">
            <v>42959</v>
          </cell>
        </row>
        <row r="194">
          <cell r="B194">
            <v>42960</v>
          </cell>
        </row>
        <row r="195">
          <cell r="B195">
            <v>42962</v>
          </cell>
        </row>
        <row r="196">
          <cell r="B196">
            <v>42966</v>
          </cell>
        </row>
        <row r="197">
          <cell r="B197">
            <v>42967</v>
          </cell>
        </row>
        <row r="198">
          <cell r="B198">
            <v>42973</v>
          </cell>
        </row>
        <row r="199">
          <cell r="B199">
            <v>42974</v>
          </cell>
        </row>
        <row r="200">
          <cell r="B200">
            <v>42980</v>
          </cell>
        </row>
        <row r="201">
          <cell r="B201">
            <v>42981</v>
          </cell>
        </row>
        <row r="202">
          <cell r="B202">
            <v>42987</v>
          </cell>
        </row>
        <row r="203">
          <cell r="B203">
            <v>42988</v>
          </cell>
        </row>
        <row r="204">
          <cell r="B204">
            <v>42994</v>
          </cell>
        </row>
        <row r="205">
          <cell r="B205">
            <v>42995</v>
          </cell>
        </row>
        <row r="206">
          <cell r="B206">
            <v>43001</v>
          </cell>
        </row>
        <row r="207">
          <cell r="B207">
            <v>43002</v>
          </cell>
        </row>
        <row r="208">
          <cell r="B208">
            <v>43008</v>
          </cell>
        </row>
        <row r="209">
          <cell r="B209">
            <v>43009</v>
          </cell>
        </row>
        <row r="210">
          <cell r="B210">
            <v>43011</v>
          </cell>
        </row>
        <row r="211">
          <cell r="B211">
            <v>43012</v>
          </cell>
        </row>
        <row r="212">
          <cell r="B212">
            <v>43013</v>
          </cell>
        </row>
        <row r="213">
          <cell r="B213">
            <v>43014</v>
          </cell>
        </row>
        <row r="214">
          <cell r="B214">
            <v>43015</v>
          </cell>
        </row>
        <row r="215">
          <cell r="B215">
            <v>43016</v>
          </cell>
        </row>
        <row r="216">
          <cell r="B216">
            <v>43017</v>
          </cell>
        </row>
        <row r="217">
          <cell r="B217">
            <v>43022</v>
          </cell>
        </row>
        <row r="218">
          <cell r="B218">
            <v>43023</v>
          </cell>
        </row>
        <row r="219">
          <cell r="B219">
            <v>43029</v>
          </cell>
        </row>
        <row r="220">
          <cell r="B220">
            <v>43030</v>
          </cell>
        </row>
        <row r="221">
          <cell r="B221">
            <v>43036</v>
          </cell>
        </row>
        <row r="222">
          <cell r="B222">
            <v>43037</v>
          </cell>
        </row>
        <row r="223">
          <cell r="B223">
            <v>43043</v>
          </cell>
        </row>
        <row r="224">
          <cell r="B224">
            <v>43044</v>
          </cell>
        </row>
        <row r="225">
          <cell r="B225">
            <v>43050</v>
          </cell>
        </row>
        <row r="226">
          <cell r="B226">
            <v>43051</v>
          </cell>
        </row>
        <row r="227">
          <cell r="B227">
            <v>43057</v>
          </cell>
        </row>
        <row r="228">
          <cell r="B228">
            <v>43058</v>
          </cell>
        </row>
        <row r="229">
          <cell r="B229">
            <v>43064</v>
          </cell>
        </row>
        <row r="230">
          <cell r="B230">
            <v>43065</v>
          </cell>
        </row>
        <row r="231">
          <cell r="B231">
            <v>43071</v>
          </cell>
        </row>
        <row r="232">
          <cell r="B232">
            <v>43072</v>
          </cell>
        </row>
        <row r="233">
          <cell r="B233">
            <v>43078</v>
          </cell>
        </row>
        <row r="234">
          <cell r="B234">
            <v>43079</v>
          </cell>
        </row>
        <row r="235">
          <cell r="B235">
            <v>43085</v>
          </cell>
        </row>
        <row r="236">
          <cell r="B236">
            <v>43086</v>
          </cell>
        </row>
        <row r="237">
          <cell r="B237">
            <v>43092</v>
          </cell>
        </row>
        <row r="238">
          <cell r="B238">
            <v>43093</v>
          </cell>
        </row>
        <row r="239">
          <cell r="B239">
            <v>43094</v>
          </cell>
        </row>
        <row r="240">
          <cell r="B240">
            <v>43099</v>
          </cell>
        </row>
        <row r="241">
          <cell r="B241">
            <v>43100</v>
          </cell>
        </row>
      </sheetData>
      <sheetData sheetId="4"/>
      <sheetData sheetId="5"/>
      <sheetData sheetId="6"/>
    </sheetDataSet>
  </externalBook>
</externalLink>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hyperlink" Target="https://xlworks.net/xlgantt-project-scheduler/" TargetMode="External"/><Relationship Id="rId13" Type="http://schemas.openxmlformats.org/officeDocument/2006/relationships/hyperlink" Target="https://xlworks.net/xlgantt-howto-12-integration-with-excel/" TargetMode="External"/><Relationship Id="rId3" Type="http://schemas.openxmlformats.org/officeDocument/2006/relationships/hyperlink" Target="https://xlworks.net/xlgantt_howto_02_task/" TargetMode="External"/><Relationship Id="rId7" Type="http://schemas.openxmlformats.org/officeDocument/2006/relationships/hyperlink" Target="https://xlworks.net/xlgantt-howto-07-deliverables/" TargetMode="External"/><Relationship Id="rId12" Type="http://schemas.openxmlformats.org/officeDocument/2006/relationships/hyperlink" Target="https://xlworks.net/xlgantt-howto-11-calendar/" TargetMode="External"/><Relationship Id="rId2" Type="http://schemas.openxmlformats.org/officeDocument/2006/relationships/hyperlink" Target="https://xlworks.net/xlgantt_easy_tip/" TargetMode="External"/><Relationship Id="rId16" Type="http://schemas.openxmlformats.org/officeDocument/2006/relationships/printerSettings" Target="../printerSettings/printerSettings2.bin"/><Relationship Id="rId1" Type="http://schemas.openxmlformats.org/officeDocument/2006/relationships/hyperlink" Target="http://xlworks.net/" TargetMode="External"/><Relationship Id="rId6" Type="http://schemas.openxmlformats.org/officeDocument/2006/relationships/hyperlink" Target="https://xlworks.net/xlgantt_howto_06_schedule_change_management/" TargetMode="External"/><Relationship Id="rId11" Type="http://schemas.openxmlformats.org/officeDocument/2006/relationships/hyperlink" Target="https://xlworks.net/xlgantt-howto-10-import-schedule/" TargetMode="External"/><Relationship Id="rId5" Type="http://schemas.openxmlformats.org/officeDocument/2006/relationships/hyperlink" Target="https://xlworks.net/xlgantt_howto_05_analysis_report/" TargetMode="External"/><Relationship Id="rId15" Type="http://schemas.openxmlformats.org/officeDocument/2006/relationships/hyperlink" Target="https://xlworks.net/xlgantt-howto-13-server-data" TargetMode="External"/><Relationship Id="rId10" Type="http://schemas.openxmlformats.org/officeDocument/2006/relationships/hyperlink" Target="https://xlworks.net/xlgantt-howto-09-multilingual-support/" TargetMode="External"/><Relationship Id="rId4" Type="http://schemas.openxmlformats.org/officeDocument/2006/relationships/hyperlink" Target="https://xlworks.net/xlgantt_howto_03_gantt_chart/" TargetMode="External"/><Relationship Id="rId9" Type="http://schemas.openxmlformats.org/officeDocument/2006/relationships/hyperlink" Target="https://xlworks.net/xlgantt-howto-08-add-tasks-to-outlook/" TargetMode="External"/><Relationship Id="rId14" Type="http://schemas.openxmlformats.org/officeDocument/2006/relationships/hyperlink" Target="https://xlworks.net/xlgantt_howto_04_project_progress/" TargetMode="Externa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3.bin"/><Relationship Id="rId1" Type="http://schemas.openxmlformats.org/officeDocument/2006/relationships/hyperlink" Target="http://xlworks.net/"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L15"/>
  <sheetViews>
    <sheetView zoomScaleNormal="100" workbookViewId="0">
      <selection activeCell="C24" sqref="C24"/>
    </sheetView>
  </sheetViews>
  <sheetFormatPr defaultColWidth="10" defaultRowHeight="13.8"/>
  <cols>
    <col min="1" max="1" width="28.19921875" style="79" bestFit="1" customWidth="1"/>
    <col min="2" max="2" width="23.09765625" style="76" bestFit="1" customWidth="1"/>
    <col min="3" max="3" width="53.3984375" style="76" bestFit="1" customWidth="1"/>
    <col min="4" max="4" width="27.3984375" style="76" bestFit="1" customWidth="1"/>
    <col min="5" max="5" width="12.8984375" style="76" bestFit="1" customWidth="1"/>
    <col min="6" max="6" width="17.69921875" style="76" bestFit="1" customWidth="1"/>
    <col min="7" max="7" width="21.8984375" style="79" bestFit="1" customWidth="1"/>
    <col min="8" max="8" width="23.69921875" style="79" bestFit="1" customWidth="1"/>
    <col min="9" max="9" width="9.69921875" style="79" bestFit="1" customWidth="1"/>
    <col min="10" max="10" width="25.09765625" style="79" bestFit="1" customWidth="1"/>
    <col min="11" max="11" width="60.69921875" style="79" bestFit="1" customWidth="1"/>
    <col min="12" max="12" width="25.09765625" style="79" bestFit="1" customWidth="1"/>
    <col min="13" max="13" width="4.8984375" style="79" bestFit="1" customWidth="1"/>
    <col min="14" max="14" width="23" style="79" bestFit="1" customWidth="1"/>
    <col min="15" max="15" width="14.5" style="79" customWidth="1"/>
    <col min="16" max="16" width="28.3984375" style="79" bestFit="1" customWidth="1"/>
    <col min="17" max="17" width="9.5" style="79" bestFit="1" customWidth="1"/>
    <col min="18" max="18" width="27.69921875" style="79" bestFit="1" customWidth="1"/>
    <col min="19" max="19" width="4.8984375" style="79" bestFit="1" customWidth="1"/>
    <col min="20" max="20" width="25" style="79" bestFit="1" customWidth="1"/>
    <col min="21" max="21" width="4.3984375" style="79" bestFit="1" customWidth="1"/>
    <col min="22" max="22" width="23" style="79" bestFit="1" customWidth="1"/>
    <col min="23" max="23" width="8.09765625" style="79" bestFit="1" customWidth="1"/>
    <col min="24" max="24" width="22.59765625" style="79" bestFit="1" customWidth="1"/>
    <col min="25" max="25" width="9.5" style="79" bestFit="1" customWidth="1"/>
    <col min="26" max="26" width="26.19921875" style="79" bestFit="1" customWidth="1"/>
    <col min="27" max="27" width="7.8984375" style="79" bestFit="1" customWidth="1"/>
    <col min="28" max="28" width="21.19921875" style="79" bestFit="1" customWidth="1"/>
    <col min="29" max="29" width="15.59765625" style="79" bestFit="1" customWidth="1"/>
    <col min="30" max="30" width="23.5" style="79" bestFit="1" customWidth="1"/>
    <col min="31" max="31" width="39.59765625" style="79" bestFit="1" customWidth="1"/>
    <col min="32" max="32" width="22.59765625" style="79" bestFit="1" customWidth="1"/>
    <col min="33" max="33" width="60.8984375" style="79" bestFit="1" customWidth="1"/>
    <col min="34" max="34" width="28.3984375" style="79" bestFit="1" customWidth="1"/>
    <col min="35" max="35" width="11.5" style="79" bestFit="1" customWidth="1"/>
    <col min="36" max="36" width="25.09765625" style="79" bestFit="1" customWidth="1"/>
    <col min="37" max="37" width="4" style="79" bestFit="1" customWidth="1"/>
    <col min="38" max="38" width="14.8984375" style="79" bestFit="1" customWidth="1"/>
    <col min="39" max="39" width="11.59765625" style="79" bestFit="1" customWidth="1"/>
    <col min="40" max="40" width="22.59765625" style="79" bestFit="1" customWidth="1"/>
    <col min="41" max="41" width="5.8984375" style="79" bestFit="1" customWidth="1"/>
    <col min="42" max="42" width="15.8984375" style="79" bestFit="1" customWidth="1"/>
    <col min="43" max="43" width="6.3984375" style="79" bestFit="1" customWidth="1"/>
    <col min="44" max="44" width="13.19921875" style="79" bestFit="1" customWidth="1"/>
    <col min="45" max="45" width="3.19921875" style="79" bestFit="1" customWidth="1"/>
    <col min="46" max="46" width="14.8984375" style="79" bestFit="1" customWidth="1"/>
    <col min="47" max="47" width="28.59765625" style="79" bestFit="1" customWidth="1"/>
    <col min="48" max="48" width="22.59765625" style="79" bestFit="1" customWidth="1"/>
    <col min="49" max="49" width="5.3984375" style="79" bestFit="1" customWidth="1"/>
    <col min="50" max="50" width="15.8984375" style="79" bestFit="1" customWidth="1"/>
    <col min="51" max="51" width="10" style="79"/>
    <col min="52" max="52" width="13.19921875" style="79" bestFit="1" customWidth="1"/>
    <col min="53" max="53" width="10" style="79"/>
    <col min="54" max="54" width="14.8984375" style="79" bestFit="1" customWidth="1"/>
    <col min="55" max="55" width="10" style="79"/>
    <col min="56" max="56" width="22.59765625" style="79" bestFit="1" customWidth="1"/>
    <col min="57" max="57" width="10" style="79"/>
    <col min="58" max="58" width="15.8984375" style="79" bestFit="1" customWidth="1"/>
    <col min="59" max="59" width="10" style="79"/>
    <col min="60" max="60" width="13.19921875" style="79" bestFit="1" customWidth="1"/>
    <col min="61" max="61" width="10" style="79"/>
    <col min="62" max="62" width="14.8984375" style="79" bestFit="1" customWidth="1"/>
    <col min="63" max="63" width="10" style="79"/>
    <col min="64" max="64" width="22.59765625" style="79" bestFit="1" customWidth="1"/>
    <col min="65" max="65" width="10" style="79"/>
    <col min="66" max="66" width="33.69921875" style="79" bestFit="1" customWidth="1"/>
    <col min="67" max="16384" width="10" style="79"/>
  </cols>
  <sheetData>
    <row r="1" spans="1:64" s="76" customFormat="1">
      <c r="A1" s="75" t="s">
        <v>3</v>
      </c>
      <c r="B1" s="75" t="s">
        <v>4</v>
      </c>
      <c r="C1" s="75" t="s">
        <v>5</v>
      </c>
      <c r="D1" s="75" t="s">
        <v>6</v>
      </c>
      <c r="E1" s="75" t="s">
        <v>7</v>
      </c>
      <c r="F1" s="75" t="s">
        <v>8</v>
      </c>
    </row>
    <row r="2" spans="1:64">
      <c r="A2" s="77" t="s">
        <v>9</v>
      </c>
      <c r="B2" s="78" t="s">
        <v>10</v>
      </c>
      <c r="C2" s="78"/>
      <c r="D2" s="78"/>
      <c r="E2" s="78" t="s">
        <v>11</v>
      </c>
      <c r="F2" s="78"/>
    </row>
    <row r="3" spans="1:64">
      <c r="A3" s="77" t="s">
        <v>389</v>
      </c>
      <c r="B3" s="78" t="s">
        <v>10</v>
      </c>
      <c r="C3" s="78"/>
      <c r="D3" s="78"/>
      <c r="E3" s="78" t="s">
        <v>11</v>
      </c>
      <c r="F3" s="78"/>
    </row>
    <row r="4" spans="1:64">
      <c r="A4" s="77" t="s">
        <v>12</v>
      </c>
      <c r="B4" s="88" t="s">
        <v>390</v>
      </c>
      <c r="C4" s="78"/>
      <c r="D4" s="78"/>
      <c r="E4" s="78" t="s">
        <v>11</v>
      </c>
      <c r="F4" s="78"/>
    </row>
    <row r="5" spans="1:64">
      <c r="A5" s="77" t="s">
        <v>13</v>
      </c>
      <c r="B5" s="78" t="s">
        <v>14</v>
      </c>
      <c r="C5" s="78"/>
      <c r="D5" s="78"/>
      <c r="E5" s="78" t="s">
        <v>11</v>
      </c>
      <c r="F5" s="78"/>
    </row>
    <row r="6" spans="1:64">
      <c r="A6" s="77" t="s">
        <v>15</v>
      </c>
      <c r="B6" s="88" t="s">
        <v>16</v>
      </c>
      <c r="C6" s="78"/>
      <c r="D6" s="78"/>
      <c r="E6" s="78" t="s">
        <v>11</v>
      </c>
      <c r="F6" s="78"/>
    </row>
    <row r="7" spans="1:64">
      <c r="A7" s="77" t="s">
        <v>17</v>
      </c>
      <c r="B7" s="77" t="s">
        <v>10</v>
      </c>
      <c r="C7" s="78"/>
      <c r="D7" s="78"/>
      <c r="E7" s="78" t="s">
        <v>11</v>
      </c>
      <c r="F7" s="78"/>
    </row>
    <row r="8" spans="1:64">
      <c r="A8" s="77" t="s">
        <v>18</v>
      </c>
      <c r="B8" s="80" t="s">
        <v>1225</v>
      </c>
      <c r="C8" s="78" t="s">
        <v>1368</v>
      </c>
      <c r="D8" s="78">
        <v>82</v>
      </c>
      <c r="E8" s="78" t="s">
        <v>19</v>
      </c>
      <c r="F8" s="78"/>
    </row>
    <row r="9" spans="1:64">
      <c r="A9" s="77" t="s">
        <v>20</v>
      </c>
      <c r="B9" s="81">
        <v>43734</v>
      </c>
      <c r="C9" s="78"/>
      <c r="D9" s="78"/>
      <c r="E9" s="78" t="s">
        <v>11</v>
      </c>
      <c r="F9" s="78"/>
    </row>
    <row r="10" spans="1:64">
      <c r="A10" s="82" t="s">
        <v>21</v>
      </c>
      <c r="B10" s="83" t="s">
        <v>22</v>
      </c>
      <c r="C10" s="83"/>
      <c r="D10" s="83"/>
      <c r="E10" s="83" t="s">
        <v>11</v>
      </c>
      <c r="F10" s="83"/>
    </row>
    <row r="11" spans="1:64">
      <c r="A11" s="79" t="s">
        <v>391</v>
      </c>
      <c r="B11" s="84" t="s">
        <v>23</v>
      </c>
      <c r="C11" s="76" t="s">
        <v>1042</v>
      </c>
      <c r="D11" s="76" t="s">
        <v>24</v>
      </c>
      <c r="E11" s="85">
        <v>1</v>
      </c>
      <c r="F11" s="86" t="s">
        <v>25</v>
      </c>
      <c r="G11" s="87">
        <v>43838</v>
      </c>
      <c r="H11" s="86" t="s">
        <v>26</v>
      </c>
      <c r="I11" s="87">
        <v>44027</v>
      </c>
      <c r="J11" s="79" t="s">
        <v>408</v>
      </c>
      <c r="K11" s="79" t="s">
        <v>1392</v>
      </c>
      <c r="L11" s="79" t="s">
        <v>405</v>
      </c>
      <c r="M11" s="79">
        <v>1</v>
      </c>
      <c r="N11" s="84" t="s">
        <v>27</v>
      </c>
      <c r="O11" s="76">
        <v>0</v>
      </c>
      <c r="P11" s="76" t="s">
        <v>28</v>
      </c>
      <c r="Q11" s="84" t="s">
        <v>1102</v>
      </c>
      <c r="R11" s="79" t="s">
        <v>410</v>
      </c>
      <c r="S11" s="79">
        <v>1</v>
      </c>
      <c r="T11" s="79" t="s">
        <v>415</v>
      </c>
      <c r="U11" s="79">
        <v>1</v>
      </c>
      <c r="V11" s="79" t="s">
        <v>416</v>
      </c>
      <c r="W11" s="79">
        <v>1</v>
      </c>
      <c r="X11" s="79" t="s">
        <v>419</v>
      </c>
      <c r="Y11" s="79">
        <v>1</v>
      </c>
      <c r="Z11" s="79" t="s">
        <v>584</v>
      </c>
      <c r="AA11" s="79">
        <v>0</v>
      </c>
      <c r="AB11" s="79" t="s">
        <v>998</v>
      </c>
      <c r="AC11" s="79">
        <v>0</v>
      </c>
      <c r="AD11" s="79" t="s">
        <v>1033</v>
      </c>
      <c r="AE11" s="79">
        <v>1</v>
      </c>
    </row>
    <row r="12" spans="1:64">
      <c r="A12" s="79" t="s">
        <v>394</v>
      </c>
      <c r="B12" s="79" t="s">
        <v>395</v>
      </c>
      <c r="C12" s="79">
        <v>1</v>
      </c>
      <c r="D12" s="79" t="s">
        <v>396</v>
      </c>
      <c r="E12" s="79">
        <v>1</v>
      </c>
      <c r="F12" s="79" t="s">
        <v>397</v>
      </c>
      <c r="G12" s="79">
        <v>0</v>
      </c>
      <c r="H12" s="79" t="s">
        <v>398</v>
      </c>
      <c r="I12" s="79">
        <v>1</v>
      </c>
      <c r="J12" s="79" t="s">
        <v>399</v>
      </c>
      <c r="K12" s="79">
        <v>0.7</v>
      </c>
      <c r="L12" s="79" t="s">
        <v>400</v>
      </c>
      <c r="M12" s="79">
        <v>2</v>
      </c>
      <c r="N12" s="79" t="s">
        <v>401</v>
      </c>
      <c r="O12" s="79">
        <v>1</v>
      </c>
      <c r="P12" s="79" t="s">
        <v>404</v>
      </c>
      <c r="Q12" s="79">
        <v>1</v>
      </c>
      <c r="R12" s="79" t="s">
        <v>411</v>
      </c>
      <c r="S12" s="79">
        <v>7</v>
      </c>
      <c r="T12" s="79" t="s">
        <v>412</v>
      </c>
      <c r="U12" s="79">
        <v>0</v>
      </c>
      <c r="V12" s="79" t="s">
        <v>413</v>
      </c>
      <c r="W12" s="79">
        <v>100</v>
      </c>
      <c r="X12" s="79" t="s">
        <v>414</v>
      </c>
      <c r="Y12" s="79">
        <v>0</v>
      </c>
      <c r="Z12" s="79" t="s">
        <v>417</v>
      </c>
      <c r="AA12" s="79">
        <v>1</v>
      </c>
      <c r="AB12" s="79" t="s">
        <v>418</v>
      </c>
      <c r="AC12" s="79">
        <v>1</v>
      </c>
      <c r="AD12" s="79" t="s">
        <v>536</v>
      </c>
      <c r="AE12" s="79">
        <v>1</v>
      </c>
      <c r="AF12" s="79" t="s">
        <v>561</v>
      </c>
      <c r="AG12" s="79">
        <v>0</v>
      </c>
      <c r="AH12" s="79" t="s">
        <v>1005</v>
      </c>
      <c r="AI12" s="79">
        <v>9</v>
      </c>
    </row>
    <row r="13" spans="1:64">
      <c r="A13" s="78" t="s">
        <v>392</v>
      </c>
      <c r="B13" s="84" t="s">
        <v>29</v>
      </c>
      <c r="C13" s="76">
        <v>1</v>
      </c>
      <c r="D13" s="84" t="s">
        <v>30</v>
      </c>
      <c r="E13" s="76" t="s">
        <v>1369</v>
      </c>
      <c r="F13" s="76" t="s">
        <v>31</v>
      </c>
      <c r="G13" s="86" t="s">
        <v>538</v>
      </c>
      <c r="H13" s="86" t="s">
        <v>32</v>
      </c>
      <c r="I13" s="79" t="s">
        <v>538</v>
      </c>
    </row>
    <row r="14" spans="1:64">
      <c r="A14" s="78" t="s">
        <v>393</v>
      </c>
      <c r="B14" s="85" t="s">
        <v>33</v>
      </c>
      <c r="C14" s="85" t="s">
        <v>1279</v>
      </c>
      <c r="D14" s="85" t="s">
        <v>34</v>
      </c>
      <c r="E14" s="85" t="s">
        <v>562</v>
      </c>
      <c r="F14" s="85" t="s">
        <v>35</v>
      </c>
      <c r="G14" s="85" t="s">
        <v>1280</v>
      </c>
      <c r="H14" s="85" t="s">
        <v>36</v>
      </c>
      <c r="I14" s="85" t="b">
        <v>0</v>
      </c>
      <c r="J14" s="85" t="s">
        <v>37</v>
      </c>
      <c r="K14" s="85" t="s">
        <v>1281</v>
      </c>
      <c r="L14" s="85" t="s">
        <v>38</v>
      </c>
      <c r="M14" s="85" t="s">
        <v>571</v>
      </c>
      <c r="N14" s="85" t="s">
        <v>39</v>
      </c>
      <c r="O14" s="85" t="s">
        <v>1280</v>
      </c>
      <c r="P14" s="85" t="s">
        <v>40</v>
      </c>
      <c r="Q14" s="85" t="b">
        <v>0</v>
      </c>
      <c r="R14" s="85" t="s">
        <v>41</v>
      </c>
      <c r="S14" s="85" t="s">
        <v>1282</v>
      </c>
      <c r="T14" s="85" t="s">
        <v>42</v>
      </c>
      <c r="U14" s="85" t="s">
        <v>572</v>
      </c>
      <c r="V14" s="85" t="s">
        <v>43</v>
      </c>
      <c r="W14" s="85" t="s">
        <v>1280</v>
      </c>
      <c r="X14" s="85" t="s">
        <v>44</v>
      </c>
      <c r="Y14" s="85" t="b">
        <v>1</v>
      </c>
      <c r="Z14" s="85" t="s">
        <v>45</v>
      </c>
      <c r="AA14" s="85" t="s">
        <v>1037</v>
      </c>
      <c r="AB14" s="85" t="s">
        <v>46</v>
      </c>
      <c r="AC14" s="85" t="s">
        <v>1036</v>
      </c>
      <c r="AD14" s="85" t="s">
        <v>47</v>
      </c>
      <c r="AE14" s="85" t="s">
        <v>1038</v>
      </c>
      <c r="AF14" s="85" t="s">
        <v>48</v>
      </c>
      <c r="AG14" s="85" t="b">
        <v>1</v>
      </c>
      <c r="AH14" s="85" t="s">
        <v>49</v>
      </c>
      <c r="AI14" s="85" t="s">
        <v>1039</v>
      </c>
      <c r="AJ14" s="85" t="s">
        <v>50</v>
      </c>
      <c r="AK14" s="85" t="s">
        <v>1040</v>
      </c>
      <c r="AL14" s="85" t="s">
        <v>51</v>
      </c>
      <c r="AM14" s="85" t="s">
        <v>1041</v>
      </c>
      <c r="AN14" s="85" t="s">
        <v>52</v>
      </c>
      <c r="AO14" s="85" t="b">
        <v>0</v>
      </c>
      <c r="AP14" s="85" t="s">
        <v>53</v>
      </c>
      <c r="AQ14" s="85" t="s">
        <v>564</v>
      </c>
      <c r="AR14" s="85" t="s">
        <v>54</v>
      </c>
      <c r="AS14" s="85" t="s">
        <v>573</v>
      </c>
      <c r="AT14" s="85" t="s">
        <v>55</v>
      </c>
      <c r="AU14" s="85" t="s">
        <v>576</v>
      </c>
      <c r="AV14" s="85" t="s">
        <v>56</v>
      </c>
      <c r="AW14" s="85" t="b">
        <v>1</v>
      </c>
      <c r="AX14" s="79" t="s">
        <v>57</v>
      </c>
      <c r="AZ14" s="79" t="s">
        <v>58</v>
      </c>
      <c r="BB14" s="79" t="s">
        <v>59</v>
      </c>
      <c r="BD14" s="79" t="s">
        <v>60</v>
      </c>
      <c r="BF14" s="79" t="s">
        <v>61</v>
      </c>
      <c r="BH14" s="79" t="s">
        <v>62</v>
      </c>
      <c r="BJ14" s="79" t="s">
        <v>63</v>
      </c>
      <c r="BL14" s="79" t="s">
        <v>64</v>
      </c>
    </row>
    <row r="15" spans="1:64">
      <c r="A15" s="78" t="s">
        <v>409</v>
      </c>
      <c r="B15" s="79" t="s">
        <v>402</v>
      </c>
      <c r="C15" s="79">
        <v>1</v>
      </c>
      <c r="D15" s="79" t="s">
        <v>403</v>
      </c>
      <c r="E15" s="79">
        <v>82</v>
      </c>
      <c r="F15" s="79" t="s">
        <v>406</v>
      </c>
      <c r="G15" s="79" t="s">
        <v>575</v>
      </c>
      <c r="H15" s="79" t="s">
        <v>407</v>
      </c>
      <c r="I15" s="79">
        <v>82</v>
      </c>
    </row>
  </sheetData>
  <phoneticPr fontId="2"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0"/>
  </sheetPr>
  <dimension ref="A1:L34"/>
  <sheetViews>
    <sheetView showGridLines="0" topLeftCell="A15" zoomScale="90" zoomScaleNormal="90" workbookViewId="0">
      <selection activeCell="P17" sqref="P17"/>
    </sheetView>
  </sheetViews>
  <sheetFormatPr defaultColWidth="9" defaultRowHeight="19.2"/>
  <cols>
    <col min="1" max="1" width="5.8984375" style="89" customWidth="1"/>
    <col min="2" max="2" width="29.8984375" style="101" customWidth="1"/>
    <col min="3" max="3" width="1.19921875" style="89" customWidth="1"/>
    <col min="4" max="11" width="9" style="89"/>
    <col min="12" max="12" width="19.5" style="89" customWidth="1"/>
    <col min="13" max="16384" width="9" style="89"/>
  </cols>
  <sheetData>
    <row r="1" spans="1:12" ht="20.25" customHeight="1">
      <c r="A1" s="165" t="s">
        <v>1190</v>
      </c>
      <c r="B1" s="165"/>
      <c r="C1" s="165"/>
      <c r="D1" s="165"/>
      <c r="E1" s="165"/>
      <c r="F1" s="165"/>
      <c r="G1" s="165"/>
      <c r="H1" s="165"/>
      <c r="I1" s="121"/>
      <c r="J1" s="161" t="s">
        <v>1246</v>
      </c>
      <c r="K1" s="161"/>
      <c r="L1" s="161"/>
    </row>
    <row r="2" spans="1:12" s="90" customFormat="1" ht="33.75" customHeight="1">
      <c r="A2" s="166"/>
      <c r="B2" s="166"/>
      <c r="C2" s="166"/>
      <c r="D2" s="166"/>
      <c r="E2" s="166"/>
      <c r="F2" s="166"/>
      <c r="G2" s="166"/>
      <c r="H2" s="166"/>
      <c r="I2" s="162" t="s">
        <v>1191</v>
      </c>
      <c r="J2" s="162"/>
      <c r="K2" s="162"/>
      <c r="L2" s="162"/>
    </row>
    <row r="4" spans="1:12" ht="17.25" customHeight="1">
      <c r="B4" s="163" t="s">
        <v>550</v>
      </c>
      <c r="C4" s="163"/>
      <c r="D4" s="163"/>
      <c r="E4" s="163"/>
      <c r="F4" s="163"/>
      <c r="G4" s="163"/>
      <c r="H4" s="163"/>
      <c r="I4" s="163"/>
      <c r="J4" s="163"/>
      <c r="K4" s="163"/>
      <c r="L4" s="163"/>
    </row>
    <row r="5" spans="1:12" ht="27.75" customHeight="1">
      <c r="B5" s="163"/>
      <c r="C5" s="163"/>
      <c r="D5" s="163"/>
      <c r="E5" s="163"/>
      <c r="F5" s="163"/>
      <c r="G5" s="163"/>
      <c r="H5" s="163"/>
      <c r="I5" s="163"/>
      <c r="J5" s="163"/>
      <c r="K5" s="163"/>
      <c r="L5" s="163"/>
    </row>
    <row r="6" spans="1:12" s="90" customFormat="1" ht="15.6">
      <c r="B6" s="102"/>
    </row>
    <row r="7" spans="1:12" s="90" customFormat="1" ht="21">
      <c r="B7" s="138" t="s">
        <v>552</v>
      </c>
      <c r="D7" s="91"/>
    </row>
    <row r="8" spans="1:12" s="90" customFormat="1" ht="7.5" customHeight="1">
      <c r="B8" s="102"/>
    </row>
    <row r="9" spans="1:12" s="90" customFormat="1" ht="27.75" customHeight="1" thickBot="1">
      <c r="A9" s="92"/>
      <c r="B9" s="99" t="s">
        <v>545</v>
      </c>
      <c r="C9" s="92"/>
      <c r="D9" s="159" t="s">
        <v>553</v>
      </c>
      <c r="E9" s="159"/>
      <c r="F9" s="159"/>
      <c r="G9" s="159"/>
      <c r="H9" s="159"/>
      <c r="I9" s="159"/>
      <c r="J9" s="159"/>
      <c r="K9" s="159"/>
      <c r="L9" s="159"/>
    </row>
    <row r="10" spans="1:12" s="90" customFormat="1" ht="27.75" customHeight="1" thickTop="1" thickBot="1">
      <c r="A10" s="92"/>
      <c r="B10" s="98" t="s">
        <v>546</v>
      </c>
      <c r="C10" s="92"/>
      <c r="D10" s="159" t="s">
        <v>1371</v>
      </c>
      <c r="E10" s="159"/>
      <c r="F10" s="159"/>
      <c r="G10" s="159"/>
      <c r="H10" s="159"/>
      <c r="I10" s="159"/>
      <c r="J10" s="159"/>
      <c r="K10" s="159"/>
      <c r="L10" s="159"/>
    </row>
    <row r="11" spans="1:12" s="90" customFormat="1" ht="27.75" customHeight="1" thickTop="1" thickBot="1">
      <c r="A11" s="92"/>
      <c r="B11" s="131" t="s">
        <v>547</v>
      </c>
      <c r="C11" s="92"/>
      <c r="D11" s="159" t="s">
        <v>1372</v>
      </c>
      <c r="E11" s="159"/>
      <c r="F11" s="159"/>
      <c r="G11" s="159"/>
      <c r="H11" s="159"/>
      <c r="I11" s="159"/>
      <c r="J11" s="159"/>
      <c r="K11" s="159"/>
      <c r="L11" s="159"/>
    </row>
    <row r="12" spans="1:12" s="90" customFormat="1" ht="27.75" customHeight="1" thickTop="1" thickBot="1">
      <c r="A12" s="92"/>
      <c r="B12" s="132" t="s">
        <v>548</v>
      </c>
      <c r="C12" s="92"/>
      <c r="D12" s="159" t="s">
        <v>1373</v>
      </c>
      <c r="E12" s="159"/>
      <c r="F12" s="159"/>
      <c r="G12" s="159"/>
      <c r="H12" s="159"/>
      <c r="I12" s="159"/>
      <c r="J12" s="159"/>
      <c r="K12" s="159"/>
      <c r="L12" s="159"/>
    </row>
    <row r="13" spans="1:12" s="90" customFormat="1" ht="27.75" customHeight="1" thickTop="1" thickBot="1">
      <c r="A13" s="92"/>
      <c r="B13" s="95" t="s">
        <v>1161</v>
      </c>
      <c r="C13" s="92"/>
      <c r="D13" s="159" t="s">
        <v>1376</v>
      </c>
      <c r="E13" s="159"/>
      <c r="F13" s="159"/>
      <c r="G13" s="159"/>
      <c r="H13" s="159"/>
      <c r="I13" s="159"/>
      <c r="J13" s="159"/>
      <c r="K13" s="159"/>
      <c r="L13" s="159"/>
    </row>
    <row r="14" spans="1:12" s="90" customFormat="1" ht="27.75" customHeight="1" thickTop="1" thickBot="1">
      <c r="A14" s="92"/>
      <c r="B14" s="95" t="s">
        <v>1043</v>
      </c>
      <c r="C14" s="92"/>
      <c r="D14" s="164" t="s">
        <v>1374</v>
      </c>
      <c r="E14" s="164"/>
      <c r="F14" s="164"/>
      <c r="G14" s="164"/>
      <c r="H14" s="164"/>
      <c r="I14" s="164"/>
      <c r="J14" s="164"/>
      <c r="K14" s="164"/>
      <c r="L14" s="164"/>
    </row>
    <row r="15" spans="1:12" s="90" customFormat="1" ht="27.75" customHeight="1" thickTop="1" thickBot="1">
      <c r="A15" s="92"/>
      <c r="B15" s="96" t="s">
        <v>549</v>
      </c>
      <c r="C15" s="92"/>
      <c r="D15" s="159" t="s">
        <v>558</v>
      </c>
      <c r="E15" s="159"/>
      <c r="F15" s="159"/>
      <c r="G15" s="159"/>
      <c r="H15" s="159"/>
      <c r="I15" s="159"/>
      <c r="J15" s="159"/>
      <c r="K15" s="159"/>
      <c r="L15" s="159"/>
    </row>
    <row r="16" spans="1:12" ht="19.8" thickTop="1">
      <c r="A16" s="93"/>
      <c r="B16" s="104"/>
      <c r="C16" s="93"/>
      <c r="D16" s="94"/>
      <c r="E16" s="94"/>
      <c r="F16" s="94"/>
      <c r="G16" s="94"/>
      <c r="H16" s="94"/>
      <c r="I16" s="94"/>
      <c r="J16" s="94"/>
      <c r="K16" s="94"/>
      <c r="L16" s="94"/>
    </row>
    <row r="17" spans="2:12" s="90" customFormat="1" ht="21">
      <c r="B17" s="138" t="s">
        <v>551</v>
      </c>
      <c r="D17" s="91"/>
    </row>
    <row r="18" spans="2:12" s="90" customFormat="1" ht="5.25" customHeight="1">
      <c r="B18" s="103"/>
      <c r="D18" s="91"/>
    </row>
    <row r="19" spans="2:12" s="90" customFormat="1" ht="24.75" customHeight="1" thickBot="1">
      <c r="B19" s="130" t="s">
        <v>555</v>
      </c>
      <c r="D19" s="158" t="s">
        <v>556</v>
      </c>
      <c r="E19" s="158"/>
      <c r="F19" s="158"/>
      <c r="G19" s="158"/>
      <c r="H19" s="158"/>
      <c r="I19" s="158"/>
      <c r="J19" s="158"/>
      <c r="K19" s="158"/>
      <c r="L19" s="97" t="s">
        <v>1177</v>
      </c>
    </row>
    <row r="20" spans="2:12" s="90" customFormat="1" ht="41.25" customHeight="1" thickTop="1" thickBot="1">
      <c r="B20" s="130" t="s">
        <v>554</v>
      </c>
      <c r="D20" s="158" t="s">
        <v>557</v>
      </c>
      <c r="E20" s="158"/>
      <c r="F20" s="158"/>
      <c r="G20" s="158"/>
      <c r="H20" s="158"/>
      <c r="I20" s="158"/>
      <c r="J20" s="158"/>
      <c r="K20" s="158"/>
      <c r="L20" s="133" t="s">
        <v>1176</v>
      </c>
    </row>
    <row r="21" spans="2:12" s="90" customFormat="1" ht="37.5" customHeight="1" thickTop="1" thickBot="1">
      <c r="B21" s="130" t="s">
        <v>587</v>
      </c>
      <c r="D21" s="158" t="s">
        <v>1178</v>
      </c>
      <c r="E21" s="158"/>
      <c r="F21" s="158"/>
      <c r="G21" s="158"/>
      <c r="H21" s="158"/>
      <c r="I21" s="158"/>
      <c r="J21" s="158"/>
      <c r="K21" s="158"/>
      <c r="L21" s="133" t="s">
        <v>1176</v>
      </c>
    </row>
    <row r="22" spans="2:12" s="90" customFormat="1" ht="41.25" customHeight="1" thickTop="1" thickBot="1">
      <c r="B22" s="130" t="s">
        <v>588</v>
      </c>
      <c r="D22" s="158" t="s">
        <v>1188</v>
      </c>
      <c r="E22" s="158"/>
      <c r="F22" s="158"/>
      <c r="G22" s="158"/>
      <c r="H22" s="158"/>
      <c r="I22" s="158"/>
      <c r="J22" s="158"/>
      <c r="K22" s="158"/>
      <c r="L22" s="133" t="s">
        <v>1176</v>
      </c>
    </row>
    <row r="23" spans="2:12" s="90" customFormat="1" ht="36" customHeight="1" thickTop="1" thickBot="1">
      <c r="B23" s="130" t="s">
        <v>589</v>
      </c>
      <c r="D23" s="158" t="s">
        <v>1179</v>
      </c>
      <c r="E23" s="158"/>
      <c r="F23" s="158"/>
      <c r="G23" s="158"/>
      <c r="H23" s="158"/>
      <c r="I23" s="158"/>
      <c r="J23" s="158"/>
      <c r="K23" s="158"/>
      <c r="L23" s="133" t="s">
        <v>1176</v>
      </c>
    </row>
    <row r="24" spans="2:12" s="90" customFormat="1" ht="52.5" customHeight="1" thickTop="1" thickBot="1">
      <c r="B24" s="130" t="s">
        <v>591</v>
      </c>
      <c r="D24" s="158" t="s">
        <v>1180</v>
      </c>
      <c r="E24" s="158"/>
      <c r="F24" s="158"/>
      <c r="G24" s="158"/>
      <c r="H24" s="158"/>
      <c r="I24" s="158"/>
      <c r="J24" s="158"/>
      <c r="K24" s="158"/>
      <c r="L24" s="133" t="s">
        <v>1176</v>
      </c>
    </row>
    <row r="25" spans="2:12" s="90" customFormat="1" ht="57" customHeight="1" thickTop="1" thickBot="1">
      <c r="B25" s="130" t="s">
        <v>592</v>
      </c>
      <c r="D25" s="158" t="s">
        <v>1181</v>
      </c>
      <c r="E25" s="158"/>
      <c r="F25" s="158"/>
      <c r="G25" s="158"/>
      <c r="H25" s="158"/>
      <c r="I25" s="158"/>
      <c r="J25" s="158"/>
      <c r="K25" s="158"/>
      <c r="L25" s="133" t="s">
        <v>1176</v>
      </c>
    </row>
    <row r="26" spans="2:12" s="90" customFormat="1" ht="48.75" customHeight="1" thickTop="1" thickBot="1">
      <c r="B26" s="130" t="s">
        <v>593</v>
      </c>
      <c r="D26" s="158" t="s">
        <v>1182</v>
      </c>
      <c r="E26" s="158"/>
      <c r="F26" s="158"/>
      <c r="G26" s="158"/>
      <c r="H26" s="158"/>
      <c r="I26" s="158"/>
      <c r="J26" s="158"/>
      <c r="K26" s="158"/>
      <c r="L26" s="133" t="s">
        <v>1176</v>
      </c>
    </row>
    <row r="27" spans="2:12" s="90" customFormat="1" ht="43.5" customHeight="1" thickTop="1" thickBot="1">
      <c r="B27" s="130" t="s">
        <v>594</v>
      </c>
      <c r="D27" s="158" t="s">
        <v>1183</v>
      </c>
      <c r="E27" s="158"/>
      <c r="F27" s="158"/>
      <c r="G27" s="158"/>
      <c r="H27" s="158"/>
      <c r="I27" s="158"/>
      <c r="J27" s="158"/>
      <c r="K27" s="158"/>
      <c r="L27" s="133" t="s">
        <v>1176</v>
      </c>
    </row>
    <row r="28" spans="2:12" s="90" customFormat="1" ht="43.5" customHeight="1" thickTop="1" thickBot="1">
      <c r="B28" s="130" t="s">
        <v>595</v>
      </c>
      <c r="D28" s="158" t="s">
        <v>1184</v>
      </c>
      <c r="E28" s="158"/>
      <c r="F28" s="158"/>
      <c r="G28" s="158"/>
      <c r="H28" s="158"/>
      <c r="I28" s="158"/>
      <c r="J28" s="158"/>
      <c r="K28" s="158"/>
      <c r="L28" s="133" t="s">
        <v>1176</v>
      </c>
    </row>
    <row r="29" spans="2:12" s="90" customFormat="1" ht="50.25" customHeight="1" thickTop="1" thickBot="1">
      <c r="B29" s="130" t="s">
        <v>597</v>
      </c>
      <c r="D29" s="158" t="s">
        <v>1189</v>
      </c>
      <c r="E29" s="158"/>
      <c r="F29" s="158"/>
      <c r="G29" s="158"/>
      <c r="H29" s="158"/>
      <c r="I29" s="158"/>
      <c r="J29" s="158"/>
      <c r="K29" s="158"/>
      <c r="L29" s="133" t="s">
        <v>1176</v>
      </c>
    </row>
    <row r="30" spans="2:12" s="90" customFormat="1" ht="57.75" customHeight="1" thickTop="1" thickBot="1">
      <c r="B30" s="130" t="s">
        <v>596</v>
      </c>
      <c r="D30" s="158" t="s">
        <v>1185</v>
      </c>
      <c r="E30" s="158"/>
      <c r="F30" s="158"/>
      <c r="G30" s="158"/>
      <c r="H30" s="158"/>
      <c r="I30" s="158"/>
      <c r="J30" s="158"/>
      <c r="K30" s="158"/>
      <c r="L30" s="133" t="s">
        <v>1176</v>
      </c>
    </row>
    <row r="31" spans="2:12" s="90" customFormat="1" ht="67.5" customHeight="1" thickTop="1" thickBot="1">
      <c r="B31" s="130" t="s">
        <v>1187</v>
      </c>
      <c r="D31" s="158" t="s">
        <v>1370</v>
      </c>
      <c r="E31" s="158"/>
      <c r="F31" s="158"/>
      <c r="G31" s="158"/>
      <c r="H31" s="158"/>
      <c r="I31" s="158"/>
      <c r="J31" s="158"/>
      <c r="K31" s="158"/>
      <c r="L31" s="133" t="s">
        <v>1176</v>
      </c>
    </row>
    <row r="32" spans="2:12" s="90" customFormat="1" ht="18" thickTop="1">
      <c r="B32" s="105"/>
      <c r="D32" s="91"/>
      <c r="L32" s="92"/>
    </row>
    <row r="33" spans="2:12" s="90" customFormat="1" ht="18.75" customHeight="1">
      <c r="B33" s="134" t="s">
        <v>1375</v>
      </c>
      <c r="C33" s="135"/>
      <c r="D33" s="136"/>
      <c r="E33" s="135"/>
      <c r="F33" s="135"/>
      <c r="G33" s="135"/>
      <c r="H33" s="135"/>
      <c r="I33" s="135"/>
      <c r="J33" s="135"/>
      <c r="K33" s="135"/>
      <c r="L33" s="137"/>
    </row>
    <row r="34" spans="2:12" s="90" customFormat="1" ht="59.25" customHeight="1">
      <c r="B34" s="160" t="s">
        <v>1186</v>
      </c>
      <c r="C34" s="160"/>
      <c r="D34" s="160"/>
      <c r="E34" s="160"/>
      <c r="F34" s="160"/>
      <c r="G34" s="160"/>
      <c r="H34" s="160"/>
      <c r="I34" s="160"/>
      <c r="J34" s="160"/>
      <c r="K34" s="160"/>
      <c r="L34" s="160"/>
    </row>
  </sheetData>
  <mergeCells count="25">
    <mergeCell ref="D29:K29"/>
    <mergeCell ref="D30:K30"/>
    <mergeCell ref="B34:L34"/>
    <mergeCell ref="D31:K31"/>
    <mergeCell ref="J1:L1"/>
    <mergeCell ref="I2:L2"/>
    <mergeCell ref="D20:K20"/>
    <mergeCell ref="D21:K21"/>
    <mergeCell ref="D22:K22"/>
    <mergeCell ref="B4:L5"/>
    <mergeCell ref="D19:K19"/>
    <mergeCell ref="D14:L14"/>
    <mergeCell ref="D9:L9"/>
    <mergeCell ref="D10:L10"/>
    <mergeCell ref="A1:H2"/>
    <mergeCell ref="D25:K25"/>
    <mergeCell ref="D23:K23"/>
    <mergeCell ref="D26:K26"/>
    <mergeCell ref="D27:K27"/>
    <mergeCell ref="D28:K28"/>
    <mergeCell ref="D11:L11"/>
    <mergeCell ref="D12:L12"/>
    <mergeCell ref="D15:L15"/>
    <mergeCell ref="D13:L13"/>
    <mergeCell ref="D24:K24"/>
  </mergeCells>
  <phoneticPr fontId="2" type="noConversion"/>
  <hyperlinks>
    <hyperlink ref="B9" location="Schedule!A1" display="Schedule"/>
    <hyperlink ref="B10" location="Progress!A1" display="Progress"/>
    <hyperlink ref="J1" r:id="rId1" display="ⓒXLWorks"/>
    <hyperlink ref="B11" location="AnalysisReport!A1" display="AnalysisReport"/>
    <hyperlink ref="B13" location="Workload!A1" display="Workload"/>
    <hyperlink ref="B14" location="ServerData!A1" display="ServerData"/>
    <hyperlink ref="L19" r:id="rId2" display="도움말 링크"/>
    <hyperlink ref="L20" r:id="rId3"/>
    <hyperlink ref="L21" r:id="rId4"/>
    <hyperlink ref="L23" r:id="rId5"/>
    <hyperlink ref="L24" r:id="rId6"/>
    <hyperlink ref="L25" r:id="rId7"/>
    <hyperlink ref="I2" r:id="rId8" display="최신 버전 다운로드 https://xlworks.net"/>
    <hyperlink ref="L26" r:id="rId9"/>
    <hyperlink ref="L27" r:id="rId10"/>
    <hyperlink ref="L28" r:id="rId11"/>
    <hyperlink ref="L29" r:id="rId12"/>
    <hyperlink ref="L30" r:id="rId13"/>
    <hyperlink ref="L22" r:id="rId14"/>
    <hyperlink ref="L31" r:id="rId15"/>
    <hyperlink ref="B12" location="Calendar!A1" display="Calendar"/>
  </hyperlinks>
  <pageMargins left="0.7" right="0.7" top="0.75" bottom="0.75" header="0.3" footer="0.3"/>
  <pageSetup paperSize="9" orientation="portrait" horizontalDpi="300" verticalDpi="300" r:id="rId16"/>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00A44A"/>
    <outlinePr summaryBelow="0"/>
    <pageSetUpPr fitToPage="1"/>
  </sheetPr>
  <dimension ref="A1:HS112"/>
  <sheetViews>
    <sheetView tabSelected="1" zoomScale="85" zoomScaleNormal="85" zoomScalePageLayoutView="55" workbookViewId="0">
      <pane ySplit="4" topLeftCell="A5" activePane="bottomLeft" state="frozen"/>
      <selection activeCell="E5" sqref="E5"/>
      <selection pane="bottomLeft" activeCell="D5" sqref="D5"/>
    </sheetView>
  </sheetViews>
  <sheetFormatPr defaultColWidth="10" defaultRowHeight="13.2" outlineLevelRow="6"/>
  <cols>
    <col min="1" max="2" width="9" style="303" hidden="1" customWidth="1"/>
    <col min="3" max="3" width="8.3984375" style="303" hidden="1" customWidth="1"/>
    <col min="4" max="4" width="12.69921875" style="301" customWidth="1"/>
    <col min="5" max="13" width="2.69921875" style="289" customWidth="1"/>
    <col min="14" max="14" width="9.59765625" style="289" bestFit="1" customWidth="1"/>
    <col min="15" max="15" width="4.796875" style="289" bestFit="1" customWidth="1"/>
    <col min="16" max="17" width="13.3984375" style="290" bestFit="1" customWidth="1"/>
    <col min="18" max="18" width="7.59765625" style="291" customWidth="1"/>
    <col min="19" max="19" width="6.296875" style="292" customWidth="1"/>
    <col min="20" max="20" width="6.296875" style="292" bestFit="1" customWidth="1"/>
    <col min="21" max="22" width="4.796875" style="293" bestFit="1" customWidth="1"/>
    <col min="23" max="24" width="8.5" style="290" hidden="1" customWidth="1"/>
    <col min="25" max="25" width="7.5" style="294" hidden="1" customWidth="1"/>
    <col min="26" max="26" width="6" style="295" hidden="1" customWidth="1"/>
    <col min="27" max="27" width="7.69921875" style="296" bestFit="1" customWidth="1"/>
    <col min="28" max="28" width="32.69921875" style="291" bestFit="1" customWidth="1"/>
    <col min="29" max="29" width="28.796875" style="297" bestFit="1" customWidth="1"/>
    <col min="30" max="30" width="9.5" style="298" bestFit="1" customWidth="1"/>
    <col min="31" max="31" width="7.19921875" style="299" customWidth="1"/>
    <col min="32" max="227" width="1.8984375" style="232" customWidth="1"/>
    <col min="228" max="16384" width="10" style="232"/>
  </cols>
  <sheetData>
    <row r="1" spans="1:227" s="189" customFormat="1" ht="19.95" customHeight="1">
      <c r="A1" s="175"/>
      <c r="B1" s="176"/>
      <c r="C1" s="175"/>
      <c r="D1" s="176" t="s">
        <v>1543</v>
      </c>
      <c r="E1" s="177"/>
      <c r="F1" s="177"/>
      <c r="G1" s="177"/>
      <c r="H1" s="177"/>
      <c r="I1" s="177"/>
      <c r="J1" s="177"/>
      <c r="K1" s="177"/>
      <c r="L1" s="177"/>
      <c r="M1" s="177"/>
      <c r="N1" s="177"/>
      <c r="O1" s="177"/>
      <c r="P1" s="177"/>
      <c r="Q1" s="178"/>
      <c r="R1" s="179"/>
      <c r="S1" s="180"/>
      <c r="T1" s="180"/>
      <c r="U1" s="181"/>
      <c r="V1" s="181"/>
      <c r="W1" s="182"/>
      <c r="X1" s="182"/>
      <c r="Y1" s="176"/>
      <c r="Z1" s="183"/>
      <c r="AA1" s="184"/>
      <c r="AB1" s="185"/>
      <c r="AC1" s="186"/>
      <c r="AD1" s="187"/>
      <c r="AE1" s="188" t="e">
        <f ca="1">xlgantt.ProjectProgressString()</f>
        <v>#VALUE!</v>
      </c>
      <c r="AF1" s="318" t="s">
        <v>1226</v>
      </c>
    </row>
    <row r="2" spans="1:227" s="189" customFormat="1" ht="15" customHeight="1">
      <c r="A2" s="190"/>
      <c r="B2" s="190"/>
      <c r="C2" s="190"/>
      <c r="D2" s="191"/>
      <c r="E2" s="191"/>
      <c r="F2" s="191"/>
      <c r="G2" s="192"/>
      <c r="H2" s="193"/>
      <c r="I2" s="192"/>
      <c r="J2" s="192"/>
      <c r="K2" s="192"/>
      <c r="L2" s="192"/>
      <c r="M2" s="192"/>
      <c r="N2" s="192"/>
      <c r="O2" s="192"/>
      <c r="P2" s="192"/>
      <c r="Q2" s="192"/>
      <c r="R2" s="192"/>
      <c r="S2" s="192"/>
      <c r="T2" s="192"/>
      <c r="U2" s="192"/>
      <c r="V2" s="192"/>
      <c r="W2" s="192"/>
      <c r="X2" s="192"/>
      <c r="Y2" s="192"/>
      <c r="Z2" s="192"/>
      <c r="AA2" s="192"/>
      <c r="AB2" s="192"/>
      <c r="AC2" s="194"/>
      <c r="AD2" s="195"/>
      <c r="AE2" s="192" t="str">
        <f ca="1">xlgantt.CommentOnHeadArea()</f>
        <v>Star(*) marks-required fields, orange columns-automatically calculated</v>
      </c>
      <c r="AF2" s="319" t="s">
        <v>1509</v>
      </c>
    </row>
    <row r="3" spans="1:227" s="213" customFormat="1" ht="19.05" customHeight="1">
      <c r="A3" s="196" t="s">
        <v>1478</v>
      </c>
      <c r="B3" s="197" t="s">
        <v>1544</v>
      </c>
      <c r="C3" s="198" t="s">
        <v>1479</v>
      </c>
      <c r="D3" s="199" t="s">
        <v>1480</v>
      </c>
      <c r="E3" s="200" t="s">
        <v>1124</v>
      </c>
      <c r="F3" s="201"/>
      <c r="G3" s="201"/>
      <c r="H3" s="201"/>
      <c r="I3" s="201"/>
      <c r="J3" s="201"/>
      <c r="K3" s="201"/>
      <c r="L3" s="201"/>
      <c r="M3" s="201"/>
      <c r="N3" s="201"/>
      <c r="O3" s="202" t="s">
        <v>1125</v>
      </c>
      <c r="P3" s="202" t="s">
        <v>1481</v>
      </c>
      <c r="Q3" s="202" t="s">
        <v>1126</v>
      </c>
      <c r="R3" s="203" t="s">
        <v>1482</v>
      </c>
      <c r="S3" s="204" t="s">
        <v>1494</v>
      </c>
      <c r="T3" s="205" t="s">
        <v>1127</v>
      </c>
      <c r="U3" s="206" t="s">
        <v>1128</v>
      </c>
      <c r="V3" s="206" t="s">
        <v>1129</v>
      </c>
      <c r="W3" s="207" t="s">
        <v>1130</v>
      </c>
      <c r="X3" s="207" t="s">
        <v>1131</v>
      </c>
      <c r="Y3" s="208" t="s">
        <v>1545</v>
      </c>
      <c r="Z3" s="209" t="s">
        <v>1132</v>
      </c>
      <c r="AA3" s="210" t="s">
        <v>1133</v>
      </c>
      <c r="AB3" s="202" t="s">
        <v>1134</v>
      </c>
      <c r="AC3" s="197" t="s">
        <v>1135</v>
      </c>
      <c r="AD3" s="211" t="s">
        <v>1483</v>
      </c>
      <c r="AE3" s="212" t="s">
        <v>1136</v>
      </c>
      <c r="AF3" s="304" t="s">
        <v>1367</v>
      </c>
      <c r="AG3" s="305"/>
      <c r="AH3" s="305"/>
      <c r="AI3" s="305"/>
      <c r="AJ3" s="306" t="s">
        <v>1382</v>
      </c>
      <c r="AK3" s="305"/>
      <c r="AL3" s="305"/>
      <c r="AM3" s="305"/>
      <c r="AN3" s="306" t="s">
        <v>1383</v>
      </c>
      <c r="AO3" s="305"/>
      <c r="AP3" s="305"/>
      <c r="AQ3" s="305"/>
      <c r="AR3" s="306" t="s">
        <v>1384</v>
      </c>
      <c r="AS3" s="305"/>
      <c r="AT3" s="305"/>
      <c r="AU3" s="305"/>
      <c r="AV3" s="306" t="s">
        <v>1385</v>
      </c>
      <c r="AW3" s="305"/>
      <c r="AX3" s="305"/>
      <c r="AY3" s="305"/>
      <c r="AZ3" s="306" t="s">
        <v>1476</v>
      </c>
      <c r="BA3" s="305"/>
      <c r="BB3" s="305"/>
      <c r="BC3" s="305"/>
      <c r="BD3" s="306" t="s">
        <v>1477</v>
      </c>
      <c r="BE3" s="305"/>
      <c r="BF3" s="305"/>
      <c r="BG3" s="307"/>
    </row>
    <row r="4" spans="1:227" s="217" customFormat="1" ht="6" customHeight="1">
      <c r="A4" s="214"/>
      <c r="B4" s="215"/>
      <c r="C4" s="196"/>
      <c r="D4" s="199"/>
      <c r="E4" s="200"/>
      <c r="F4" s="201"/>
      <c r="G4" s="201"/>
      <c r="H4" s="201"/>
      <c r="I4" s="201"/>
      <c r="J4" s="201"/>
      <c r="K4" s="201"/>
      <c r="L4" s="201"/>
      <c r="M4" s="201"/>
      <c r="N4" s="201"/>
      <c r="O4" s="202"/>
      <c r="P4" s="202"/>
      <c r="Q4" s="202"/>
      <c r="R4" s="203"/>
      <c r="S4" s="204"/>
      <c r="T4" s="205"/>
      <c r="U4" s="206"/>
      <c r="V4" s="206"/>
      <c r="W4" s="202"/>
      <c r="X4" s="202"/>
      <c r="Y4" s="208"/>
      <c r="Z4" s="209"/>
      <c r="AA4" s="210"/>
      <c r="AB4" s="202"/>
      <c r="AC4" s="197"/>
      <c r="AD4" s="211"/>
      <c r="AE4" s="212"/>
      <c r="AF4" s="308">
        <v>43835</v>
      </c>
      <c r="AG4" s="309">
        <v>43842</v>
      </c>
      <c r="AH4" s="309">
        <v>43849</v>
      </c>
      <c r="AI4" s="309">
        <v>43856</v>
      </c>
      <c r="AJ4" s="309">
        <v>43863</v>
      </c>
      <c r="AK4" s="309">
        <v>43870</v>
      </c>
      <c r="AL4" s="309">
        <v>43877</v>
      </c>
      <c r="AM4" s="309">
        <v>43884</v>
      </c>
      <c r="AN4" s="309">
        <v>43891</v>
      </c>
      <c r="AO4" s="309">
        <v>43898</v>
      </c>
      <c r="AP4" s="309">
        <v>43905</v>
      </c>
      <c r="AQ4" s="309">
        <v>43912</v>
      </c>
      <c r="AR4" s="309">
        <v>43919</v>
      </c>
      <c r="AS4" s="309">
        <v>43926</v>
      </c>
      <c r="AT4" s="309">
        <v>43933</v>
      </c>
      <c r="AU4" s="309">
        <v>43940</v>
      </c>
      <c r="AV4" s="309">
        <v>43947</v>
      </c>
      <c r="AW4" s="309">
        <v>43954</v>
      </c>
      <c r="AX4" s="309">
        <v>43961</v>
      </c>
      <c r="AY4" s="309">
        <v>43968</v>
      </c>
      <c r="AZ4" s="309">
        <v>43975</v>
      </c>
      <c r="BA4" s="309">
        <v>43982</v>
      </c>
      <c r="BB4" s="309">
        <v>43989</v>
      </c>
      <c r="BC4" s="309">
        <v>43996</v>
      </c>
      <c r="BD4" s="309">
        <v>44003</v>
      </c>
      <c r="BE4" s="309">
        <v>44010</v>
      </c>
      <c r="BF4" s="309">
        <v>44017</v>
      </c>
      <c r="BG4" s="310">
        <v>44024</v>
      </c>
      <c r="BH4" s="216"/>
      <c r="BI4" s="216"/>
      <c r="BJ4" s="216"/>
      <c r="BK4" s="216"/>
      <c r="BL4" s="216"/>
      <c r="BM4" s="216"/>
      <c r="BN4" s="216"/>
      <c r="BO4" s="216"/>
      <c r="BP4" s="216"/>
      <c r="BQ4" s="216"/>
      <c r="BR4" s="216"/>
      <c r="BS4" s="216"/>
      <c r="BT4" s="216"/>
      <c r="BU4" s="216"/>
      <c r="BV4" s="216"/>
      <c r="BW4" s="216"/>
      <c r="BX4" s="216"/>
      <c r="BY4" s="216"/>
      <c r="BZ4" s="216"/>
      <c r="CA4" s="216"/>
      <c r="CB4" s="216"/>
      <c r="CC4" s="216"/>
      <c r="CD4" s="216"/>
      <c r="CE4" s="216"/>
      <c r="CF4" s="216"/>
      <c r="CG4" s="216"/>
      <c r="CH4" s="216"/>
      <c r="CI4" s="216"/>
      <c r="CJ4" s="216"/>
      <c r="CK4" s="216"/>
      <c r="CL4" s="216"/>
      <c r="CM4" s="216"/>
      <c r="CN4" s="216"/>
      <c r="CO4" s="216"/>
      <c r="CP4" s="216"/>
      <c r="CQ4" s="216"/>
      <c r="CR4" s="216"/>
      <c r="CS4" s="216"/>
      <c r="CT4" s="216"/>
      <c r="CU4" s="216"/>
      <c r="CV4" s="216"/>
      <c r="CW4" s="216"/>
      <c r="CX4" s="216"/>
      <c r="CY4" s="216"/>
      <c r="CZ4" s="216"/>
      <c r="DA4" s="216"/>
      <c r="DB4" s="216"/>
      <c r="DC4" s="216"/>
      <c r="DD4" s="216"/>
      <c r="DE4" s="216"/>
      <c r="DF4" s="216"/>
      <c r="DG4" s="216"/>
      <c r="DH4" s="216"/>
      <c r="DI4" s="216"/>
      <c r="DJ4" s="216"/>
      <c r="DK4" s="216"/>
      <c r="DL4" s="216"/>
      <c r="DM4" s="216"/>
      <c r="DN4" s="216"/>
      <c r="DO4" s="216"/>
      <c r="DP4" s="216"/>
      <c r="DQ4" s="216"/>
      <c r="DR4" s="216"/>
      <c r="DS4" s="216"/>
      <c r="DT4" s="216"/>
      <c r="DU4" s="216"/>
      <c r="DV4" s="216"/>
      <c r="DW4" s="216"/>
      <c r="DX4" s="216"/>
      <c r="DY4" s="216"/>
      <c r="DZ4" s="216"/>
      <c r="EA4" s="216"/>
      <c r="EB4" s="216"/>
      <c r="EC4" s="216"/>
      <c r="ED4" s="216"/>
      <c r="EE4" s="216"/>
      <c r="EF4" s="216"/>
      <c r="EG4" s="216"/>
      <c r="EH4" s="216"/>
      <c r="EI4" s="216"/>
      <c r="EJ4" s="216"/>
      <c r="EK4" s="216"/>
      <c r="EL4" s="216"/>
      <c r="EM4" s="216"/>
      <c r="EN4" s="216"/>
      <c r="EO4" s="216"/>
      <c r="EP4" s="216"/>
      <c r="EQ4" s="216"/>
      <c r="ER4" s="216"/>
      <c r="ES4" s="216"/>
      <c r="ET4" s="216"/>
      <c r="EU4" s="216"/>
      <c r="EV4" s="216"/>
      <c r="EW4" s="216"/>
      <c r="EX4" s="216"/>
      <c r="EY4" s="216"/>
      <c r="EZ4" s="216"/>
      <c r="FA4" s="216"/>
      <c r="FB4" s="216"/>
      <c r="FC4" s="216"/>
      <c r="FD4" s="216"/>
      <c r="FE4" s="216"/>
      <c r="FF4" s="216"/>
      <c r="FG4" s="216"/>
      <c r="FH4" s="216"/>
      <c r="FI4" s="216"/>
      <c r="FJ4" s="216"/>
      <c r="FK4" s="216"/>
      <c r="FL4" s="216"/>
      <c r="FM4" s="216"/>
      <c r="FN4" s="216"/>
      <c r="FO4" s="216"/>
      <c r="FP4" s="216"/>
      <c r="FQ4" s="216"/>
      <c r="FR4" s="216"/>
      <c r="FS4" s="216"/>
      <c r="FT4" s="216"/>
      <c r="FU4" s="216"/>
      <c r="FV4" s="216"/>
      <c r="FW4" s="216"/>
      <c r="FX4" s="216"/>
      <c r="FY4" s="216"/>
      <c r="FZ4" s="216"/>
      <c r="GA4" s="216"/>
      <c r="GB4" s="216"/>
      <c r="GC4" s="216"/>
      <c r="GD4" s="216"/>
      <c r="GE4" s="216"/>
      <c r="GF4" s="216"/>
      <c r="GG4" s="216"/>
      <c r="GH4" s="216"/>
      <c r="GI4" s="216"/>
      <c r="GJ4" s="216"/>
      <c r="GK4" s="216"/>
      <c r="GL4" s="216"/>
      <c r="GM4" s="216"/>
      <c r="GN4" s="216"/>
      <c r="GO4" s="216"/>
      <c r="GP4" s="216"/>
      <c r="GQ4" s="216"/>
      <c r="GR4" s="216"/>
      <c r="GS4" s="216"/>
      <c r="GT4" s="216"/>
      <c r="GU4" s="216"/>
      <c r="GV4" s="216"/>
      <c r="GW4" s="216"/>
      <c r="GX4" s="216"/>
      <c r="GY4" s="216"/>
      <c r="GZ4" s="216"/>
      <c r="HA4" s="216"/>
      <c r="HB4" s="216"/>
      <c r="HC4" s="216"/>
      <c r="HD4" s="216"/>
      <c r="HE4" s="216"/>
      <c r="HF4" s="216"/>
      <c r="HG4" s="216"/>
      <c r="HH4" s="216"/>
      <c r="HI4" s="216"/>
      <c r="HJ4" s="216"/>
      <c r="HK4" s="216"/>
      <c r="HL4" s="216"/>
      <c r="HM4" s="216"/>
      <c r="HN4" s="216"/>
      <c r="HO4" s="216"/>
      <c r="HP4" s="216"/>
      <c r="HQ4" s="216"/>
      <c r="HR4" s="216"/>
      <c r="HS4" s="216"/>
    </row>
    <row r="5" spans="1:227" ht="15.6">
      <c r="A5" s="218"/>
      <c r="B5" s="218" t="s">
        <v>1283</v>
      </c>
      <c r="C5" s="218">
        <v>1</v>
      </c>
      <c r="D5" s="219" t="s">
        <v>1058</v>
      </c>
      <c r="E5" s="220" t="s">
        <v>1284</v>
      </c>
      <c r="F5" s="220"/>
      <c r="G5" s="220"/>
      <c r="H5" s="220"/>
      <c r="I5" s="220"/>
      <c r="J5" s="220"/>
      <c r="K5" s="220"/>
      <c r="L5" s="220"/>
      <c r="M5" s="220"/>
      <c r="N5" s="220"/>
      <c r="O5" s="220"/>
      <c r="P5" s="221">
        <v>43838</v>
      </c>
      <c r="Q5" s="221">
        <v>44027</v>
      </c>
      <c r="R5" s="222"/>
      <c r="S5" s="223">
        <v>65</v>
      </c>
      <c r="T5" s="223">
        <v>59</v>
      </c>
      <c r="U5" s="224">
        <v>131</v>
      </c>
      <c r="V5" s="224">
        <v>70</v>
      </c>
      <c r="W5" s="221"/>
      <c r="X5" s="221"/>
      <c r="Y5" s="225">
        <v>0</v>
      </c>
      <c r="Z5" s="226">
        <v>0</v>
      </c>
      <c r="AA5" s="227"/>
      <c r="AB5" s="222"/>
      <c r="AC5" s="228"/>
      <c r="AD5" s="229">
        <v>0.90769230769230769</v>
      </c>
      <c r="AE5" s="230">
        <v>0.90769230769230769</v>
      </c>
      <c r="AF5" s="311"/>
      <c r="AG5" s="231"/>
      <c r="AH5" s="231"/>
      <c r="AI5" s="231"/>
      <c r="AJ5" s="231"/>
      <c r="AK5" s="231"/>
      <c r="AL5" s="231"/>
      <c r="AM5" s="231"/>
      <c r="AN5" s="231"/>
      <c r="AO5" s="231"/>
      <c r="AP5" s="231"/>
      <c r="AQ5" s="231"/>
      <c r="AR5" s="231"/>
      <c r="AS5" s="231"/>
      <c r="AT5" s="231"/>
      <c r="AU5" s="231"/>
      <c r="AV5" s="231"/>
      <c r="AW5" s="231"/>
      <c r="AX5" s="231"/>
      <c r="AY5" s="231"/>
      <c r="AZ5" s="231"/>
      <c r="BA5" s="231"/>
      <c r="BB5" s="231"/>
      <c r="BC5" s="231"/>
      <c r="BD5" s="231"/>
      <c r="BE5" s="231" t="str">
        <f>"" &amp; TEXT(AE5,"#0.00%") &amp; " " &amp; "프로젝트 관리" &amp; " " &amp; IF(P5="","",TEXT(P5,"M/D-")) &amp; IF(Q5="","",TEXT(Q5,"M/D")) &amp; " "</f>
        <v xml:space="preserve">90.77% 프로젝트 관리 1/8-7/15 </v>
      </c>
      <c r="BF5" s="231"/>
      <c r="BG5" s="231"/>
      <c r="BH5" s="231"/>
    </row>
    <row r="6" spans="1:227" ht="15.6" outlineLevel="1">
      <c r="A6" s="218"/>
      <c r="B6" s="218" t="s">
        <v>1283</v>
      </c>
      <c r="C6" s="218">
        <v>2</v>
      </c>
      <c r="D6" s="219" t="s">
        <v>1167</v>
      </c>
      <c r="E6" s="220"/>
      <c r="F6" s="220" t="s">
        <v>1285</v>
      </c>
      <c r="G6" s="220"/>
      <c r="H6" s="220"/>
      <c r="I6" s="220"/>
      <c r="J6" s="220"/>
      <c r="K6" s="220"/>
      <c r="L6" s="220"/>
      <c r="M6" s="220"/>
      <c r="N6" s="220"/>
      <c r="O6" s="220"/>
      <c r="P6" s="221">
        <v>43838</v>
      </c>
      <c r="Q6" s="221">
        <v>43914</v>
      </c>
      <c r="R6" s="222"/>
      <c r="S6" s="223">
        <v>55</v>
      </c>
      <c r="T6" s="223">
        <v>55</v>
      </c>
      <c r="U6" s="224">
        <v>53</v>
      </c>
      <c r="V6" s="224">
        <v>53</v>
      </c>
      <c r="W6" s="221"/>
      <c r="X6" s="221"/>
      <c r="Y6" s="225">
        <v>0</v>
      </c>
      <c r="Z6" s="226">
        <v>0</v>
      </c>
      <c r="AA6" s="227"/>
      <c r="AB6" s="222"/>
      <c r="AC6" s="228"/>
      <c r="AD6" s="229">
        <v>1</v>
      </c>
      <c r="AE6" s="230">
        <v>1</v>
      </c>
      <c r="AF6" s="311"/>
      <c r="AG6" s="231"/>
      <c r="AH6" s="231"/>
      <c r="AI6" s="231"/>
      <c r="AJ6" s="231"/>
      <c r="AK6" s="231"/>
      <c r="AL6" s="231"/>
      <c r="AM6" s="231"/>
      <c r="AN6" s="231"/>
      <c r="AO6" s="231"/>
      <c r="AP6" s="231"/>
      <c r="AQ6" s="231" t="str">
        <f>"   " &amp; TEXT(AE6,"#0.00%") &amp; " " &amp; "프로젝트 착수 및 계획수립" &amp; " " &amp; IF(P6="","",TEXT(P6,"M/D-")) &amp; IF(Q6="","",TEXT(Q6,"M/D")) &amp; " "</f>
        <v xml:space="preserve">   100.00% 프로젝트 착수 및 계획수립 1/8-3/24 </v>
      </c>
      <c r="AR6" s="231"/>
      <c r="AS6" s="231"/>
      <c r="AT6" s="231"/>
      <c r="AU6" s="231"/>
      <c r="AV6" s="231"/>
      <c r="AW6" s="231"/>
      <c r="AX6" s="231"/>
      <c r="AY6" s="231"/>
      <c r="AZ6" s="231"/>
      <c r="BA6" s="231"/>
      <c r="BB6" s="231"/>
      <c r="BC6" s="231"/>
      <c r="BD6" s="231"/>
      <c r="BE6" s="231"/>
      <c r="BF6" s="231"/>
      <c r="BG6" s="231"/>
      <c r="BH6" s="231"/>
    </row>
    <row r="7" spans="1:227" ht="15.6" outlineLevel="2">
      <c r="A7" s="218"/>
      <c r="B7" s="218"/>
      <c r="C7" s="218">
        <v>3</v>
      </c>
      <c r="D7" s="219" t="s">
        <v>1168</v>
      </c>
      <c r="E7" s="220"/>
      <c r="F7" s="220"/>
      <c r="G7" s="220" t="s">
        <v>1286</v>
      </c>
      <c r="H7" s="220"/>
      <c r="I7" s="220"/>
      <c r="J7" s="220"/>
      <c r="K7" s="220"/>
      <c r="L7" s="220"/>
      <c r="M7" s="220"/>
      <c r="N7" s="220"/>
      <c r="O7" s="220"/>
      <c r="P7" s="221">
        <v>43838</v>
      </c>
      <c r="Q7" s="221">
        <v>43880</v>
      </c>
      <c r="R7" s="222"/>
      <c r="S7" s="223">
        <v>29</v>
      </c>
      <c r="T7" s="223">
        <v>29</v>
      </c>
      <c r="U7" s="224">
        <v>29</v>
      </c>
      <c r="V7" s="224">
        <v>29</v>
      </c>
      <c r="W7" s="221">
        <v>43696</v>
      </c>
      <c r="X7" s="221">
        <v>43697</v>
      </c>
      <c r="Y7" s="225">
        <v>2</v>
      </c>
      <c r="Z7" s="226">
        <v>2</v>
      </c>
      <c r="AA7" s="227">
        <v>1</v>
      </c>
      <c r="AB7" s="222" t="s">
        <v>1485</v>
      </c>
      <c r="AC7" s="228"/>
      <c r="AD7" s="229">
        <v>1</v>
      </c>
      <c r="AE7" s="230">
        <v>1</v>
      </c>
      <c r="AF7" s="311"/>
      <c r="AG7" s="231"/>
      <c r="AH7" s="231"/>
      <c r="AI7" s="231"/>
      <c r="AJ7" s="231"/>
      <c r="AK7" s="231"/>
      <c r="AL7" s="231" t="str">
        <f>"    " &amp; TEXT(AE7,"#0.00%") &amp; " " &amp; "프로젝트 착수" &amp; "(금상원, 김이든, 김주은, 문은빈, 한헤은)" &amp; " " &amp; IF(P7="","",TEXT(P7,"M/D-")) &amp; IF(Q7="","",TEXT(Q7,"M/D")) &amp; " "</f>
        <v xml:space="preserve">    100.00% 프로젝트 착수(금상원, 김이든, 김주은, 문은빈, 한헤은) 1/8-2/19 </v>
      </c>
      <c r="AM7" s="231"/>
      <c r="AN7" s="231"/>
      <c r="AO7" s="231"/>
      <c r="AP7" s="231"/>
      <c r="AQ7" s="231"/>
      <c r="AR7" s="231"/>
      <c r="AS7" s="231"/>
      <c r="AT7" s="231"/>
      <c r="AU7" s="231"/>
      <c r="AV7" s="231"/>
      <c r="AW7" s="231"/>
      <c r="AX7" s="231"/>
      <c r="AY7" s="231"/>
      <c r="AZ7" s="231"/>
      <c r="BA7" s="231"/>
      <c r="BB7" s="231"/>
      <c r="BC7" s="231"/>
      <c r="BD7" s="231"/>
      <c r="BE7" s="231"/>
      <c r="BF7" s="231"/>
      <c r="BG7" s="231"/>
      <c r="BH7" s="231"/>
    </row>
    <row r="8" spans="1:227" ht="15.6" outlineLevel="2">
      <c r="A8" s="218"/>
      <c r="B8" s="218" t="s">
        <v>1283</v>
      </c>
      <c r="C8" s="218">
        <v>3</v>
      </c>
      <c r="D8" s="219" t="s">
        <v>1169</v>
      </c>
      <c r="E8" s="220"/>
      <c r="F8" s="220"/>
      <c r="G8" s="220" t="s">
        <v>1287</v>
      </c>
      <c r="H8" s="220"/>
      <c r="I8" s="220"/>
      <c r="J8" s="220"/>
      <c r="K8" s="220"/>
      <c r="L8" s="220"/>
      <c r="M8" s="220"/>
      <c r="N8" s="220"/>
      <c r="O8" s="220"/>
      <c r="P8" s="221">
        <v>43880</v>
      </c>
      <c r="Q8" s="221">
        <v>43914</v>
      </c>
      <c r="R8" s="222"/>
      <c r="S8" s="223">
        <v>26</v>
      </c>
      <c r="T8" s="223">
        <v>26</v>
      </c>
      <c r="U8" s="224">
        <v>25</v>
      </c>
      <c r="V8" s="224">
        <v>25</v>
      </c>
      <c r="W8" s="221"/>
      <c r="X8" s="221"/>
      <c r="Y8" s="225">
        <v>0</v>
      </c>
      <c r="Z8" s="226">
        <v>0</v>
      </c>
      <c r="AA8" s="227"/>
      <c r="AB8" s="222"/>
      <c r="AC8" s="228"/>
      <c r="AD8" s="229">
        <v>1</v>
      </c>
      <c r="AE8" s="230">
        <v>1</v>
      </c>
      <c r="AF8" s="311"/>
      <c r="AG8" s="231"/>
      <c r="AH8" s="231"/>
      <c r="AI8" s="231"/>
      <c r="AJ8" s="231"/>
      <c r="AK8" s="231"/>
      <c r="AL8" s="231"/>
      <c r="AM8" s="231"/>
      <c r="AN8" s="231"/>
      <c r="AO8" s="231"/>
      <c r="AP8" s="231"/>
      <c r="AQ8" s="231" t="str">
        <f>"   " &amp; TEXT(AE8,"#0.00%") &amp; " " &amp; "프로젝트 범위정의" &amp; " " &amp; IF(P8="","",TEXT(P8,"M/D-")) &amp; IF(Q8="","",TEXT(Q8,"M/D")) &amp; " "</f>
        <v xml:space="preserve">   100.00% 프로젝트 범위정의 2/19-3/24 </v>
      </c>
      <c r="AR8" s="231"/>
      <c r="AS8" s="231"/>
      <c r="AT8" s="231"/>
      <c r="AU8" s="231"/>
      <c r="AV8" s="231"/>
      <c r="AW8" s="231"/>
      <c r="AX8" s="231"/>
      <c r="AY8" s="231"/>
      <c r="AZ8" s="231"/>
      <c r="BA8" s="231"/>
      <c r="BB8" s="231"/>
      <c r="BC8" s="231"/>
      <c r="BD8" s="231"/>
      <c r="BE8" s="231"/>
      <c r="BF8" s="231"/>
      <c r="BG8" s="231"/>
      <c r="BH8" s="231"/>
    </row>
    <row r="9" spans="1:227" ht="15.6" outlineLevel="3">
      <c r="A9" s="218"/>
      <c r="B9" s="218"/>
      <c r="C9" s="218">
        <v>4</v>
      </c>
      <c r="D9" s="219" t="s">
        <v>1288</v>
      </c>
      <c r="E9" s="220"/>
      <c r="F9" s="220"/>
      <c r="G9" s="220"/>
      <c r="H9" s="220" t="s">
        <v>1289</v>
      </c>
      <c r="I9" s="220"/>
      <c r="J9" s="220"/>
      <c r="K9" s="220"/>
      <c r="L9" s="220"/>
      <c r="M9" s="220"/>
      <c r="N9" s="220"/>
      <c r="O9" s="220"/>
      <c r="P9" s="221">
        <v>43880</v>
      </c>
      <c r="Q9" s="221">
        <v>43914</v>
      </c>
      <c r="R9" s="222"/>
      <c r="S9" s="223">
        <v>25</v>
      </c>
      <c r="T9" s="223">
        <v>25</v>
      </c>
      <c r="U9" s="224">
        <v>25</v>
      </c>
      <c r="V9" s="224">
        <v>25</v>
      </c>
      <c r="W9" s="221">
        <v>43700</v>
      </c>
      <c r="X9" s="221">
        <v>43706</v>
      </c>
      <c r="Y9" s="225">
        <v>5</v>
      </c>
      <c r="Z9" s="226">
        <v>5</v>
      </c>
      <c r="AA9" s="227">
        <v>1</v>
      </c>
      <c r="AB9" s="222" t="s">
        <v>1485</v>
      </c>
      <c r="AC9" s="312" t="s">
        <v>1393</v>
      </c>
      <c r="AD9" s="229">
        <v>1</v>
      </c>
      <c r="AE9" s="230">
        <v>1</v>
      </c>
      <c r="AF9" s="311"/>
      <c r="AG9" s="231"/>
      <c r="AH9" s="231"/>
      <c r="AI9" s="231"/>
      <c r="AJ9" s="231"/>
      <c r="AK9" s="231"/>
      <c r="AL9" s="231"/>
      <c r="AM9" s="231"/>
      <c r="AN9" s="231"/>
      <c r="AO9" s="231"/>
      <c r="AP9" s="231"/>
      <c r="AQ9" s="231" t="str">
        <f>"   " &amp; TEXT(AE9,"#0.00%") &amp; " " &amp; "프로젝트 계획 수립" &amp; "(금상원, 김이든, 김주은, 문은빈, 한헤은)" &amp; " " &amp; IF(P9="","",TEXT(P9,"M/D-")) &amp; IF(Q9="","",TEXT(Q9,"M/D")) &amp; " "</f>
        <v xml:space="preserve">   100.00% 프로젝트 계획 수립(금상원, 김이든, 김주은, 문은빈, 한헤은) 2/19-3/24 </v>
      </c>
      <c r="AR9" s="231"/>
      <c r="AS9" s="231"/>
      <c r="AT9" s="231"/>
      <c r="AU9" s="231"/>
      <c r="AV9" s="231"/>
      <c r="AW9" s="231"/>
      <c r="AX9" s="231"/>
      <c r="AY9" s="231"/>
      <c r="AZ9" s="231"/>
      <c r="BA9" s="231"/>
      <c r="BB9" s="231"/>
      <c r="BC9" s="231"/>
      <c r="BD9" s="231"/>
      <c r="BE9" s="231"/>
      <c r="BF9" s="231"/>
      <c r="BG9" s="231"/>
      <c r="BH9" s="231"/>
    </row>
    <row r="10" spans="1:227" ht="15.6" outlineLevel="3">
      <c r="A10" s="218"/>
      <c r="B10" s="218"/>
      <c r="C10" s="218">
        <v>4</v>
      </c>
      <c r="D10" s="219" t="s">
        <v>1290</v>
      </c>
      <c r="E10" s="220"/>
      <c r="F10" s="220"/>
      <c r="G10" s="220"/>
      <c r="H10" s="220" t="s">
        <v>1291</v>
      </c>
      <c r="I10" s="220"/>
      <c r="J10" s="220"/>
      <c r="K10" s="220"/>
      <c r="L10" s="220"/>
      <c r="M10" s="220"/>
      <c r="N10" s="220"/>
      <c r="O10" s="220"/>
      <c r="P10" s="221">
        <v>43914</v>
      </c>
      <c r="Q10" s="221">
        <v>43914</v>
      </c>
      <c r="R10" s="222"/>
      <c r="S10" s="223">
        <v>1</v>
      </c>
      <c r="T10" s="223">
        <v>1</v>
      </c>
      <c r="U10" s="224">
        <v>1</v>
      </c>
      <c r="V10" s="224">
        <v>1</v>
      </c>
      <c r="W10" s="221">
        <v>43718</v>
      </c>
      <c r="X10" s="221">
        <v>43718</v>
      </c>
      <c r="Y10" s="225">
        <v>1</v>
      </c>
      <c r="Z10" s="226">
        <v>1</v>
      </c>
      <c r="AA10" s="227">
        <v>1</v>
      </c>
      <c r="AB10" s="222" t="s">
        <v>1485</v>
      </c>
      <c r="AC10" s="228"/>
      <c r="AD10" s="229">
        <v>1</v>
      </c>
      <c r="AE10" s="230">
        <v>1</v>
      </c>
      <c r="AF10" s="311"/>
      <c r="AG10" s="231"/>
      <c r="AH10" s="231"/>
      <c r="AI10" s="231"/>
      <c r="AJ10" s="231"/>
      <c r="AK10" s="231"/>
      <c r="AL10" s="231"/>
      <c r="AM10" s="231"/>
      <c r="AN10" s="231"/>
      <c r="AO10" s="231"/>
      <c r="AP10" s="231"/>
      <c r="AQ10" s="231" t="str">
        <f>"   " &amp; TEXT(AE10,"#0.00%") &amp; " " &amp; "착수보고(Kick off)" &amp; "(금상원, 김이든, 김주은, 문은빈, 한헤은)" &amp; " " &amp; IF(P10="","",TEXT(P10,"M/D-")) &amp; IF(Q10="","",TEXT(Q10,"M/D")) &amp; " "</f>
        <v xml:space="preserve">   100.00% 착수보고(Kick off)(금상원, 김이든, 김주은, 문은빈, 한헤은) 3/24-3/24 </v>
      </c>
      <c r="AR10" s="231"/>
      <c r="AS10" s="231"/>
      <c r="AT10" s="231"/>
      <c r="AU10" s="231"/>
      <c r="AV10" s="231"/>
      <c r="AW10" s="231"/>
      <c r="AX10" s="231"/>
      <c r="AY10" s="231"/>
      <c r="AZ10" s="231"/>
      <c r="BA10" s="231"/>
      <c r="BB10" s="231"/>
      <c r="BC10" s="231"/>
      <c r="BD10" s="231"/>
      <c r="BE10" s="231"/>
      <c r="BF10" s="231"/>
      <c r="BG10" s="231"/>
      <c r="BH10" s="231"/>
    </row>
    <row r="11" spans="1:227" ht="15.6" outlineLevel="1">
      <c r="A11" s="218"/>
      <c r="B11" s="218" t="s">
        <v>1283</v>
      </c>
      <c r="C11" s="218">
        <v>2</v>
      </c>
      <c r="D11" s="219" t="s">
        <v>1170</v>
      </c>
      <c r="E11" s="220"/>
      <c r="F11" s="220" t="s">
        <v>1292</v>
      </c>
      <c r="G11" s="220"/>
      <c r="H11" s="220"/>
      <c r="I11" s="220"/>
      <c r="J11" s="220"/>
      <c r="K11" s="220"/>
      <c r="L11" s="220"/>
      <c r="M11" s="220"/>
      <c r="N11" s="220"/>
      <c r="O11" s="220"/>
      <c r="P11" s="221">
        <v>43838</v>
      </c>
      <c r="Q11" s="221">
        <v>43972</v>
      </c>
      <c r="R11" s="222"/>
      <c r="S11" s="223">
        <v>5</v>
      </c>
      <c r="T11" s="223">
        <v>4</v>
      </c>
      <c r="U11" s="224">
        <v>92</v>
      </c>
      <c r="V11" s="224">
        <v>70</v>
      </c>
      <c r="W11" s="221"/>
      <c r="X11" s="221"/>
      <c r="Y11" s="225">
        <v>0</v>
      </c>
      <c r="Z11" s="226">
        <v>0</v>
      </c>
      <c r="AA11" s="227"/>
      <c r="AB11" s="222"/>
      <c r="AC11" s="228"/>
      <c r="AD11" s="229">
        <v>0.8</v>
      </c>
      <c r="AE11" s="230">
        <v>0.8</v>
      </c>
      <c r="AF11" s="311"/>
      <c r="AG11" s="231"/>
      <c r="AH11" s="231"/>
      <c r="AI11" s="231"/>
      <c r="AJ11" s="231"/>
      <c r="AK11" s="231"/>
      <c r="AL11" s="231"/>
      <c r="AM11" s="231"/>
      <c r="AN11" s="231"/>
      <c r="AO11" s="231"/>
      <c r="AP11" s="231"/>
      <c r="AQ11" s="231"/>
      <c r="AR11" s="231"/>
      <c r="AS11" s="231"/>
      <c r="AT11" s="231"/>
      <c r="AU11" s="231" t="str">
        <f>"      " &amp; TEXT(AE11,"#0.00%") &amp; " "</f>
        <v xml:space="preserve">      80.00% </v>
      </c>
      <c r="AV11" s="231"/>
      <c r="AW11" s="231"/>
      <c r="AX11" s="231"/>
      <c r="AY11" s="231" t="str">
        <f>"     " &amp; "프로젝트 수행 및 통제" &amp; " " &amp; IF(P11="","",TEXT(P11,"M/D-")) &amp; IF(Q11="","",TEXT(Q11,"M/D")) &amp; " "</f>
        <v xml:space="preserve">     프로젝트 수행 및 통제 1/8-5/21 </v>
      </c>
      <c r="AZ11" s="231"/>
      <c r="BA11" s="231"/>
      <c r="BB11" s="231"/>
      <c r="BC11" s="231"/>
      <c r="BD11" s="231"/>
      <c r="BE11" s="231"/>
      <c r="BF11" s="231"/>
      <c r="BG11" s="231"/>
      <c r="BH11" s="231"/>
    </row>
    <row r="12" spans="1:227" ht="15.6" outlineLevel="2">
      <c r="A12" s="218"/>
      <c r="B12" s="218"/>
      <c r="C12" s="218">
        <v>3</v>
      </c>
      <c r="D12" s="233" t="s">
        <v>1171</v>
      </c>
      <c r="E12" s="234"/>
      <c r="F12" s="234"/>
      <c r="G12" s="234" t="s">
        <v>1293</v>
      </c>
      <c r="H12" s="234"/>
      <c r="I12" s="234"/>
      <c r="J12" s="234"/>
      <c r="K12" s="234"/>
      <c r="L12" s="234"/>
      <c r="M12" s="234"/>
      <c r="N12" s="234"/>
      <c r="O12" s="234"/>
      <c r="P12" s="221">
        <v>43838</v>
      </c>
      <c r="Q12" s="221">
        <v>43838</v>
      </c>
      <c r="R12" s="222"/>
      <c r="S12" s="223">
        <v>1</v>
      </c>
      <c r="T12" s="223">
        <v>1</v>
      </c>
      <c r="U12" s="224">
        <v>1</v>
      </c>
      <c r="V12" s="224">
        <v>1</v>
      </c>
      <c r="W12" s="221">
        <v>43724</v>
      </c>
      <c r="X12" s="221">
        <v>43728</v>
      </c>
      <c r="Y12" s="225">
        <v>5</v>
      </c>
      <c r="Z12" s="226">
        <v>5</v>
      </c>
      <c r="AA12" s="227">
        <v>1</v>
      </c>
      <c r="AB12" s="222" t="s">
        <v>1485</v>
      </c>
      <c r="AC12" s="228"/>
      <c r="AD12" s="229">
        <v>1</v>
      </c>
      <c r="AE12" s="230">
        <v>1</v>
      </c>
      <c r="AF12" s="311" t="str">
        <f>"    " &amp; TEXT(AE12,"#0.00%") &amp; " " &amp; "월간보고1" &amp; "(금상원, 김이든, 김주은, 문은빈, 한헤은)" &amp; " " &amp; IF(P12="","",TEXT(P12,"M/D-")) &amp; IF(Q12="","",TEXT(Q12,"M/D")) &amp; " "</f>
        <v xml:space="preserve">    100.00% 월간보고1(금상원, 김이든, 김주은, 문은빈, 한헤은) 1/8-1/8 </v>
      </c>
      <c r="AG12" s="231"/>
      <c r="AH12" s="231"/>
      <c r="AI12" s="231"/>
      <c r="AJ12" s="231"/>
      <c r="AK12" s="231"/>
      <c r="AL12" s="231"/>
      <c r="AM12" s="231"/>
      <c r="AN12" s="231"/>
      <c r="AO12" s="231"/>
      <c r="AP12" s="231"/>
      <c r="AQ12" s="231"/>
      <c r="AR12" s="231"/>
      <c r="AS12" s="231"/>
      <c r="AT12" s="231"/>
      <c r="AU12" s="231"/>
      <c r="AV12" s="231"/>
      <c r="AW12" s="231"/>
      <c r="AX12" s="231"/>
      <c r="AY12" s="231"/>
      <c r="AZ12" s="231"/>
      <c r="BA12" s="231"/>
      <c r="BB12" s="231"/>
      <c r="BC12" s="231"/>
      <c r="BD12" s="231"/>
      <c r="BE12" s="231"/>
      <c r="BF12" s="231"/>
      <c r="BG12" s="231"/>
      <c r="BH12" s="231"/>
    </row>
    <row r="13" spans="1:227" ht="15.6" outlineLevel="2">
      <c r="A13" s="218"/>
      <c r="B13" s="218"/>
      <c r="C13" s="218">
        <v>3</v>
      </c>
      <c r="D13" s="233" t="s">
        <v>1219</v>
      </c>
      <c r="E13" s="234"/>
      <c r="F13" s="234"/>
      <c r="G13" s="234" t="s">
        <v>1294</v>
      </c>
      <c r="H13" s="234"/>
      <c r="I13" s="234"/>
      <c r="J13" s="234"/>
      <c r="K13" s="234"/>
      <c r="L13" s="234"/>
      <c r="M13" s="234"/>
      <c r="N13" s="234"/>
      <c r="O13" s="234"/>
      <c r="P13" s="221">
        <v>43873</v>
      </c>
      <c r="Q13" s="221">
        <v>43873</v>
      </c>
      <c r="R13" s="222"/>
      <c r="S13" s="223">
        <v>1</v>
      </c>
      <c r="T13" s="223">
        <v>1</v>
      </c>
      <c r="U13" s="224">
        <v>1</v>
      </c>
      <c r="V13" s="224">
        <v>1</v>
      </c>
      <c r="W13" s="221"/>
      <c r="X13" s="221"/>
      <c r="Y13" s="225"/>
      <c r="Z13" s="226">
        <v>0</v>
      </c>
      <c r="AA13" s="227">
        <v>1</v>
      </c>
      <c r="AB13" s="222" t="s">
        <v>1485</v>
      </c>
      <c r="AC13" s="228"/>
      <c r="AD13" s="229">
        <v>1</v>
      </c>
      <c r="AE13" s="230">
        <v>1</v>
      </c>
      <c r="AF13" s="311"/>
      <c r="AG13" s="231"/>
      <c r="AH13" s="231"/>
      <c r="AI13" s="231"/>
      <c r="AJ13" s="231"/>
      <c r="AK13" s="231" t="str">
        <f>"    " &amp; TEXT(AE13,"#0.00%") &amp; " " &amp; "월간보고2" &amp; "(금상원, 김이든, 김주은, 문은빈, 한헤은)" &amp; " " &amp; IF(P13="","",TEXT(P13,"M/D-")) &amp; IF(Q13="","",TEXT(Q13,"M/D")) &amp; " "</f>
        <v xml:space="preserve">    100.00% 월간보고2(금상원, 김이든, 김주은, 문은빈, 한헤은) 2/12-2/12 </v>
      </c>
      <c r="AL13" s="231"/>
      <c r="AM13" s="231"/>
      <c r="AN13" s="231"/>
      <c r="AO13" s="231"/>
      <c r="AP13" s="231"/>
      <c r="AQ13" s="231"/>
      <c r="AR13" s="231"/>
      <c r="AS13" s="231"/>
      <c r="AT13" s="231"/>
      <c r="AU13" s="231"/>
      <c r="AV13" s="231"/>
      <c r="AW13" s="231"/>
      <c r="AX13" s="231"/>
      <c r="AY13" s="231"/>
      <c r="AZ13" s="231"/>
      <c r="BA13" s="231"/>
      <c r="BB13" s="231"/>
      <c r="BC13" s="231"/>
      <c r="BD13" s="231"/>
      <c r="BE13" s="231"/>
      <c r="BF13" s="231"/>
      <c r="BG13" s="231"/>
      <c r="BH13" s="231"/>
    </row>
    <row r="14" spans="1:227" ht="15.6" outlineLevel="2">
      <c r="A14" s="218"/>
      <c r="B14" s="218"/>
      <c r="C14" s="218">
        <v>3</v>
      </c>
      <c r="D14" s="233" t="s">
        <v>1295</v>
      </c>
      <c r="E14" s="234"/>
      <c r="F14" s="234"/>
      <c r="G14" s="234" t="s">
        <v>1296</v>
      </c>
      <c r="H14" s="234"/>
      <c r="I14" s="234"/>
      <c r="J14" s="234"/>
      <c r="K14" s="234"/>
      <c r="L14" s="234"/>
      <c r="M14" s="234"/>
      <c r="N14" s="234"/>
      <c r="O14" s="234"/>
      <c r="P14" s="221">
        <v>43901</v>
      </c>
      <c r="Q14" s="221">
        <v>43901</v>
      </c>
      <c r="R14" s="222"/>
      <c r="S14" s="223">
        <v>1</v>
      </c>
      <c r="T14" s="223">
        <v>1</v>
      </c>
      <c r="U14" s="224">
        <v>1</v>
      </c>
      <c r="V14" s="224">
        <v>1</v>
      </c>
      <c r="W14" s="221"/>
      <c r="X14" s="221"/>
      <c r="Y14" s="225"/>
      <c r="Z14" s="226">
        <v>0</v>
      </c>
      <c r="AA14" s="227">
        <v>1</v>
      </c>
      <c r="AB14" s="222" t="s">
        <v>1485</v>
      </c>
      <c r="AC14" s="228"/>
      <c r="AD14" s="229">
        <v>1</v>
      </c>
      <c r="AE14" s="230">
        <v>1</v>
      </c>
      <c r="AF14" s="311"/>
      <c r="AG14" s="231"/>
      <c r="AH14" s="231"/>
      <c r="AI14" s="231"/>
      <c r="AJ14" s="231"/>
      <c r="AK14" s="231"/>
      <c r="AL14" s="231"/>
      <c r="AM14" s="231"/>
      <c r="AN14" s="231"/>
      <c r="AO14" s="231" t="str">
        <f>"    " &amp; TEXT(AE14,"#0.00%") &amp; " " &amp; "월간보고3" &amp; "(금상원, 김이든, 김주은, 문은빈, 한헤은)" &amp; " " &amp; IF(P14="","",TEXT(P14,"M/D-")) &amp; IF(Q14="","",TEXT(Q14,"M/D")) &amp; " "</f>
        <v xml:space="preserve">    100.00% 월간보고3(금상원, 김이든, 김주은, 문은빈, 한헤은) 3/11-3/11 </v>
      </c>
      <c r="AP14" s="231"/>
      <c r="AQ14" s="231"/>
      <c r="AR14" s="231"/>
      <c r="AS14" s="231"/>
      <c r="AT14" s="231"/>
      <c r="AU14" s="231"/>
      <c r="AV14" s="231"/>
      <c r="AW14" s="231"/>
      <c r="AX14" s="231"/>
      <c r="AY14" s="231"/>
      <c r="AZ14" s="231"/>
      <c r="BA14" s="231"/>
      <c r="BB14" s="231"/>
      <c r="BC14" s="231"/>
      <c r="BD14" s="231"/>
      <c r="BE14" s="231"/>
      <c r="BF14" s="231"/>
      <c r="BG14" s="231"/>
      <c r="BH14" s="231"/>
    </row>
    <row r="15" spans="1:227" ht="15.6" outlineLevel="2">
      <c r="A15" s="218"/>
      <c r="B15" s="218"/>
      <c r="C15" s="218">
        <v>3</v>
      </c>
      <c r="D15" s="233" t="s">
        <v>1297</v>
      </c>
      <c r="E15" s="234"/>
      <c r="F15" s="234"/>
      <c r="G15" s="234" t="s">
        <v>1484</v>
      </c>
      <c r="H15" s="234"/>
      <c r="I15" s="234"/>
      <c r="J15" s="234"/>
      <c r="K15" s="234"/>
      <c r="L15" s="234"/>
      <c r="M15" s="234"/>
      <c r="N15" s="234"/>
      <c r="O15" s="234"/>
      <c r="P15" s="221">
        <v>43929</v>
      </c>
      <c r="Q15" s="221">
        <v>43929</v>
      </c>
      <c r="R15" s="222"/>
      <c r="S15" s="223">
        <v>1</v>
      </c>
      <c r="T15" s="223">
        <v>1</v>
      </c>
      <c r="U15" s="224">
        <v>1</v>
      </c>
      <c r="V15" s="224">
        <v>1</v>
      </c>
      <c r="W15" s="221"/>
      <c r="X15" s="221"/>
      <c r="Y15" s="225"/>
      <c r="Z15" s="226">
        <v>0</v>
      </c>
      <c r="AA15" s="227">
        <v>1</v>
      </c>
      <c r="AB15" s="222" t="s">
        <v>1485</v>
      </c>
      <c r="AC15" s="228"/>
      <c r="AD15" s="229">
        <v>1</v>
      </c>
      <c r="AE15" s="230">
        <v>1</v>
      </c>
      <c r="AF15" s="311"/>
      <c r="AG15" s="231"/>
      <c r="AH15" s="231"/>
      <c r="AI15" s="231"/>
      <c r="AJ15" s="231"/>
      <c r="AK15" s="231"/>
      <c r="AL15" s="231"/>
      <c r="AM15" s="231"/>
      <c r="AN15" s="231"/>
      <c r="AO15" s="231"/>
      <c r="AP15" s="231"/>
      <c r="AQ15" s="231"/>
      <c r="AR15" s="231"/>
      <c r="AS15" s="231" t="str">
        <f>"    " &amp; TEXT(AE15,"#0.00%") &amp; " " &amp; "월간보고4" &amp; "(금상원, 김이든, 김주은, 문은빈, 한헤은)" &amp; " " &amp; IF(P15="","",TEXT(P15,"M/D-")) &amp; IF(Q15="","",TEXT(Q15,"M/D")) &amp; " "</f>
        <v xml:space="preserve">    100.00% 월간보고4(금상원, 김이든, 김주은, 문은빈, 한헤은) 4/8-4/8 </v>
      </c>
      <c r="AT15" s="231"/>
      <c r="AU15" s="231"/>
      <c r="AV15" s="231"/>
      <c r="AW15" s="231"/>
      <c r="AX15" s="231"/>
      <c r="AY15" s="231"/>
      <c r="AZ15" s="231"/>
      <c r="BA15" s="231"/>
      <c r="BB15" s="231"/>
      <c r="BC15" s="231"/>
      <c r="BD15" s="231"/>
      <c r="BE15" s="231"/>
      <c r="BF15" s="231"/>
      <c r="BG15" s="231"/>
      <c r="BH15" s="231"/>
    </row>
    <row r="16" spans="1:227" ht="15.6" outlineLevel="2">
      <c r="A16" s="218"/>
      <c r="B16" s="218"/>
      <c r="C16" s="218">
        <v>3</v>
      </c>
      <c r="D16" s="233" t="s">
        <v>1404</v>
      </c>
      <c r="E16" s="234"/>
      <c r="F16" s="234"/>
      <c r="G16" s="234" t="s">
        <v>1510</v>
      </c>
      <c r="H16" s="234"/>
      <c r="I16" s="234"/>
      <c r="J16" s="234"/>
      <c r="K16" s="234"/>
      <c r="L16" s="234"/>
      <c r="M16" s="234"/>
      <c r="N16" s="234"/>
      <c r="O16" s="234"/>
      <c r="P16" s="235">
        <v>43972</v>
      </c>
      <c r="Q16" s="235">
        <v>43972</v>
      </c>
      <c r="R16" s="222"/>
      <c r="S16" s="223">
        <v>1</v>
      </c>
      <c r="T16" s="223">
        <v>0</v>
      </c>
      <c r="U16" s="224">
        <v>1</v>
      </c>
      <c r="V16" s="224">
        <v>0</v>
      </c>
      <c r="W16" s="221">
        <v>43725</v>
      </c>
      <c r="X16" s="221">
        <v>43727</v>
      </c>
      <c r="Y16" s="225">
        <v>3</v>
      </c>
      <c r="Z16" s="226">
        <v>3</v>
      </c>
      <c r="AA16" s="227">
        <v>1</v>
      </c>
      <c r="AB16" s="222"/>
      <c r="AC16" s="228"/>
      <c r="AD16" s="229">
        <v>0</v>
      </c>
      <c r="AE16" s="230">
        <v>0</v>
      </c>
      <c r="AF16" s="311"/>
      <c r="AG16" s="231"/>
      <c r="AH16" s="231"/>
      <c r="AI16" s="231"/>
      <c r="AJ16" s="231"/>
      <c r="AK16" s="231"/>
      <c r="AL16" s="231"/>
      <c r="AM16" s="231"/>
      <c r="AN16" s="231"/>
      <c r="AO16" s="231"/>
      <c r="AP16" s="231"/>
      <c r="AQ16" s="231"/>
      <c r="AR16" s="231"/>
      <c r="AS16" s="231"/>
      <c r="AT16" s="231"/>
      <c r="AU16" s="231"/>
      <c r="AV16" s="231"/>
      <c r="AW16" s="231"/>
      <c r="AX16" s="231"/>
      <c r="AY16" s="231" t="str">
        <f>"    " &amp; TEXT(AE16,"#0.00%") &amp; " " &amp; "프로토타입 보고" &amp; " " &amp; IF(P16="","",TEXT(P16,"M/D-")) &amp; IF(Q16="","",TEXT(Q16,"M/D")) &amp; " "</f>
        <v xml:space="preserve">    0.00% 프로토타입 보고 5/21-5/21 </v>
      </c>
      <c r="AZ16" s="231"/>
      <c r="BA16" s="231"/>
      <c r="BB16" s="231"/>
      <c r="BC16" s="231"/>
      <c r="BD16" s="231"/>
      <c r="BE16" s="231"/>
      <c r="BF16" s="231"/>
      <c r="BG16" s="231"/>
      <c r="BH16" s="231"/>
    </row>
    <row r="17" spans="1:60" ht="15.6" outlineLevel="1">
      <c r="A17" s="218"/>
      <c r="B17" s="218" t="s">
        <v>1283</v>
      </c>
      <c r="C17" s="218">
        <v>2</v>
      </c>
      <c r="D17" s="219" t="s">
        <v>1172</v>
      </c>
      <c r="E17" s="220"/>
      <c r="F17" s="220" t="s">
        <v>1299</v>
      </c>
      <c r="G17" s="220"/>
      <c r="H17" s="220"/>
      <c r="I17" s="220"/>
      <c r="J17" s="220"/>
      <c r="K17" s="220"/>
      <c r="L17" s="220"/>
      <c r="M17" s="220"/>
      <c r="N17" s="220"/>
      <c r="O17" s="220"/>
      <c r="P17" s="221">
        <v>44022</v>
      </c>
      <c r="Q17" s="221">
        <v>44027</v>
      </c>
      <c r="R17" s="222"/>
      <c r="S17" s="223">
        <v>5</v>
      </c>
      <c r="T17" s="223">
        <v>0</v>
      </c>
      <c r="U17" s="224">
        <v>4</v>
      </c>
      <c r="V17" s="224">
        <v>0</v>
      </c>
      <c r="W17" s="221"/>
      <c r="X17" s="221"/>
      <c r="Y17" s="225">
        <v>0</v>
      </c>
      <c r="Z17" s="226">
        <v>0</v>
      </c>
      <c r="AA17" s="227"/>
      <c r="AB17" s="222"/>
      <c r="AC17" s="228"/>
      <c r="AD17" s="229">
        <v>0</v>
      </c>
      <c r="AE17" s="230">
        <v>0</v>
      </c>
      <c r="AF17" s="311"/>
      <c r="AG17" s="231"/>
      <c r="AH17" s="231"/>
      <c r="AI17" s="231"/>
      <c r="AJ17" s="231"/>
      <c r="AK17" s="231"/>
      <c r="AL17" s="231"/>
      <c r="AM17" s="231"/>
      <c r="AN17" s="231"/>
      <c r="AO17" s="231"/>
      <c r="AP17" s="231"/>
      <c r="AQ17" s="231"/>
      <c r="AR17" s="231"/>
      <c r="AS17" s="231"/>
      <c r="AT17" s="231"/>
      <c r="AU17" s="231"/>
      <c r="AV17" s="231"/>
      <c r="AW17" s="231"/>
      <c r="AX17" s="231"/>
      <c r="AY17" s="231"/>
      <c r="AZ17" s="231"/>
      <c r="BA17" s="231"/>
      <c r="BB17" s="231"/>
      <c r="BC17" s="231"/>
      <c r="BD17" s="231"/>
      <c r="BE17" s="231"/>
      <c r="BF17" s="231" t="str">
        <f>"     " &amp; TEXT(AE17,"#0.00%") &amp; " " &amp; "프로젝트 종료" &amp; " " &amp; IF(P17="","",TEXT(P17,"M/D-")) &amp; IF(Q17="","",TEXT(Q17,"M/D")) &amp; " "</f>
        <v xml:space="preserve">     0.00% 프로젝트 종료 7/10-7/15 </v>
      </c>
      <c r="BG17" s="231"/>
      <c r="BH17" s="231"/>
    </row>
    <row r="18" spans="1:60" ht="15.6" outlineLevel="2">
      <c r="A18" s="218"/>
      <c r="B18" s="218"/>
      <c r="C18" s="218">
        <v>3</v>
      </c>
      <c r="D18" s="219" t="s">
        <v>1173</v>
      </c>
      <c r="E18" s="220"/>
      <c r="F18" s="220"/>
      <c r="G18" s="220" t="s">
        <v>1300</v>
      </c>
      <c r="H18" s="220"/>
      <c r="I18" s="220"/>
      <c r="J18" s="220"/>
      <c r="K18" s="220"/>
      <c r="L18" s="220"/>
      <c r="M18" s="220"/>
      <c r="N18" s="220"/>
      <c r="O18" s="220"/>
      <c r="P18" s="221">
        <v>44022</v>
      </c>
      <c r="Q18" s="221">
        <v>44026</v>
      </c>
      <c r="R18" s="222"/>
      <c r="S18" s="223">
        <v>3</v>
      </c>
      <c r="T18" s="223">
        <v>0</v>
      </c>
      <c r="U18" s="224">
        <v>3</v>
      </c>
      <c r="V18" s="224">
        <v>0</v>
      </c>
      <c r="W18" s="221"/>
      <c r="X18" s="221"/>
      <c r="Y18" s="225"/>
      <c r="Z18" s="226">
        <v>0</v>
      </c>
      <c r="AA18" s="227">
        <v>1</v>
      </c>
      <c r="AB18" s="222" t="s">
        <v>1485</v>
      </c>
      <c r="AC18" s="228"/>
      <c r="AD18" s="229">
        <v>0</v>
      </c>
      <c r="AE18" s="230">
        <v>0</v>
      </c>
      <c r="AF18" s="311"/>
      <c r="AG18" s="231"/>
      <c r="AH18" s="231"/>
      <c r="AI18" s="231"/>
      <c r="AJ18" s="231"/>
      <c r="AK18" s="231"/>
      <c r="AL18" s="231"/>
      <c r="AM18" s="231"/>
      <c r="AN18" s="231"/>
      <c r="AO18" s="231"/>
      <c r="AP18" s="231"/>
      <c r="AQ18" s="231"/>
      <c r="AR18" s="231"/>
      <c r="AS18" s="231"/>
      <c r="AT18" s="231"/>
      <c r="AU18" s="231"/>
      <c r="AV18" s="231"/>
      <c r="AW18" s="231"/>
      <c r="AX18" s="231"/>
      <c r="AY18" s="231"/>
      <c r="AZ18" s="231"/>
      <c r="BA18" s="231"/>
      <c r="BB18" s="231"/>
      <c r="BC18" s="231"/>
      <c r="BD18" s="231"/>
      <c r="BE18" s="231"/>
      <c r="BF18" s="231" t="str">
        <f>"     " &amp; TEXT(AE18,"#0.00%") &amp; " " &amp; "종료계획수립" &amp; "(금상원, 김이든, 김주은, 문은빈, 한헤은)" &amp; " " &amp; IF(P18="","",TEXT(P18,"M/D-")) &amp; IF(Q18="","",TEXT(Q18,"M/D")) &amp; " "</f>
        <v xml:space="preserve">     0.00% 종료계획수립(금상원, 김이든, 김주은, 문은빈, 한헤은) 7/10-7/14 </v>
      </c>
      <c r="BG18" s="231"/>
      <c r="BH18" s="231"/>
    </row>
    <row r="19" spans="1:60" ht="15.6" outlineLevel="2">
      <c r="A19" s="218"/>
      <c r="B19" s="218"/>
      <c r="C19" s="218">
        <v>3</v>
      </c>
      <c r="D19" s="219" t="s">
        <v>1220</v>
      </c>
      <c r="E19" s="220"/>
      <c r="F19" s="220"/>
      <c r="G19" s="220" t="s">
        <v>1303</v>
      </c>
      <c r="H19" s="220"/>
      <c r="I19" s="220"/>
      <c r="J19" s="220"/>
      <c r="K19" s="220"/>
      <c r="L19" s="220"/>
      <c r="M19" s="220"/>
      <c r="N19" s="220"/>
      <c r="O19" s="220"/>
      <c r="P19" s="221">
        <v>44027</v>
      </c>
      <c r="Q19" s="221">
        <v>44027</v>
      </c>
      <c r="R19" s="222"/>
      <c r="S19" s="223">
        <v>1</v>
      </c>
      <c r="T19" s="223">
        <v>0</v>
      </c>
      <c r="U19" s="224">
        <v>1</v>
      </c>
      <c r="V19" s="224">
        <v>0</v>
      </c>
      <c r="W19" s="221"/>
      <c r="X19" s="221"/>
      <c r="Y19" s="225"/>
      <c r="Z19" s="226">
        <v>0</v>
      </c>
      <c r="AA19" s="227">
        <v>1</v>
      </c>
      <c r="AB19" s="222" t="s">
        <v>1485</v>
      </c>
      <c r="AC19" s="228"/>
      <c r="AD19" s="229">
        <v>0</v>
      </c>
      <c r="AE19" s="230">
        <v>0</v>
      </c>
      <c r="AF19" s="311"/>
      <c r="AG19" s="231"/>
      <c r="AH19" s="231"/>
      <c r="AI19" s="231"/>
      <c r="AJ19" s="231"/>
      <c r="AK19" s="231"/>
      <c r="AL19" s="231"/>
      <c r="AM19" s="231"/>
      <c r="AN19" s="231"/>
      <c r="AO19" s="231"/>
      <c r="AP19" s="231"/>
      <c r="AQ19" s="231"/>
      <c r="AR19" s="231"/>
      <c r="AS19" s="231"/>
      <c r="AT19" s="231"/>
      <c r="AU19" s="231"/>
      <c r="AV19" s="231"/>
      <c r="AW19" s="231"/>
      <c r="AX19" s="231"/>
      <c r="AY19" s="231"/>
      <c r="AZ19" s="231"/>
      <c r="BA19" s="231"/>
      <c r="BB19" s="231"/>
      <c r="BC19" s="231"/>
      <c r="BD19" s="231"/>
      <c r="BE19" s="231"/>
      <c r="BF19" s="231"/>
      <c r="BG19" s="231" t="str">
        <f>"   " &amp; TEXT(AE19,"#0.00%") &amp; " " &amp; "종료보고" &amp; "(금상원, 김이든, 김주은, 문은빈, 한헤은)" &amp; " " &amp; IF(P19="","",TEXT(P19,"M/D-")) &amp; IF(Q19="","",TEXT(Q19,"M/D")) &amp; " "</f>
        <v xml:space="preserve">   0.00% 종료보고(금상원, 김이든, 김주은, 문은빈, 한헤은) 7/15-7/15 </v>
      </c>
      <c r="BH19" s="231"/>
    </row>
    <row r="20" spans="1:60" ht="15.6" outlineLevel="2">
      <c r="A20" s="218"/>
      <c r="B20" s="218"/>
      <c r="C20" s="218">
        <v>3</v>
      </c>
      <c r="D20" s="219" t="s">
        <v>1302</v>
      </c>
      <c r="E20" s="220"/>
      <c r="F20" s="220"/>
      <c r="G20" s="220" t="s">
        <v>1305</v>
      </c>
      <c r="H20" s="220"/>
      <c r="I20" s="220"/>
      <c r="J20" s="220"/>
      <c r="K20" s="220"/>
      <c r="L20" s="220"/>
      <c r="M20" s="220"/>
      <c r="N20" s="220"/>
      <c r="O20" s="220"/>
      <c r="P20" s="221">
        <v>44027</v>
      </c>
      <c r="Q20" s="221">
        <v>44027</v>
      </c>
      <c r="R20" s="222"/>
      <c r="S20" s="223">
        <v>1</v>
      </c>
      <c r="T20" s="223">
        <v>0</v>
      </c>
      <c r="U20" s="224">
        <v>1</v>
      </c>
      <c r="V20" s="224">
        <v>0</v>
      </c>
      <c r="W20" s="221"/>
      <c r="X20" s="221"/>
      <c r="Y20" s="225"/>
      <c r="Z20" s="226">
        <v>0</v>
      </c>
      <c r="AA20" s="227">
        <v>1</v>
      </c>
      <c r="AB20" s="222" t="s">
        <v>1485</v>
      </c>
      <c r="AC20" s="228"/>
      <c r="AD20" s="229">
        <v>0</v>
      </c>
      <c r="AE20" s="230">
        <v>0</v>
      </c>
      <c r="AF20" s="311"/>
      <c r="AG20" s="231"/>
      <c r="AH20" s="231"/>
      <c r="AI20" s="231"/>
      <c r="AJ20" s="231"/>
      <c r="AK20" s="231"/>
      <c r="AL20" s="231"/>
      <c r="AM20" s="231"/>
      <c r="AN20" s="231"/>
      <c r="AO20" s="231"/>
      <c r="AP20" s="231"/>
      <c r="AQ20" s="231"/>
      <c r="AR20" s="231"/>
      <c r="AS20" s="231"/>
      <c r="AT20" s="231"/>
      <c r="AU20" s="231"/>
      <c r="AV20" s="231"/>
      <c r="AW20" s="231"/>
      <c r="AX20" s="231"/>
      <c r="AY20" s="231"/>
      <c r="AZ20" s="231"/>
      <c r="BA20" s="231"/>
      <c r="BB20" s="231"/>
      <c r="BC20" s="231"/>
      <c r="BD20" s="231"/>
      <c r="BE20" s="231"/>
      <c r="BF20" s="231"/>
      <c r="BG20" s="231" t="str">
        <f>"   " &amp; TEXT(AE20,"#0.00%") &amp; " " &amp; "검수 및 종료" &amp; "(금상원, 김이든, 김주은, 문은빈, 한헤은)" &amp; " " &amp; IF(P20="","",TEXT(P20,"M/D-")) &amp; IF(Q20="","",TEXT(Q20,"M/D")) &amp; " "</f>
        <v xml:space="preserve">   0.00% 검수 및 종료(금상원, 김이든, 김주은, 문은빈, 한헤은) 7/15-7/15 </v>
      </c>
      <c r="BH20" s="231"/>
    </row>
    <row r="21" spans="1:60" ht="15.6">
      <c r="A21" s="218"/>
      <c r="B21" s="218" t="s">
        <v>1283</v>
      </c>
      <c r="C21" s="218">
        <v>1</v>
      </c>
      <c r="D21" s="219" t="s">
        <v>1157</v>
      </c>
      <c r="E21" s="220" t="s">
        <v>1306</v>
      </c>
      <c r="F21" s="220"/>
      <c r="G21" s="220"/>
      <c r="H21" s="220"/>
      <c r="I21" s="220"/>
      <c r="J21" s="220"/>
      <c r="K21" s="220"/>
      <c r="L21" s="220"/>
      <c r="M21" s="220"/>
      <c r="N21" s="220"/>
      <c r="O21" s="220"/>
      <c r="P21" s="221">
        <v>43878</v>
      </c>
      <c r="Q21" s="221">
        <v>43980</v>
      </c>
      <c r="R21" s="222"/>
      <c r="S21" s="223">
        <v>242</v>
      </c>
      <c r="T21" s="223">
        <v>139</v>
      </c>
      <c r="U21" s="224">
        <v>72</v>
      </c>
      <c r="V21" s="224">
        <v>44</v>
      </c>
      <c r="W21" s="221"/>
      <c r="X21" s="221"/>
      <c r="Y21" s="225">
        <v>0</v>
      </c>
      <c r="Z21" s="226">
        <v>0</v>
      </c>
      <c r="AA21" s="227"/>
      <c r="AB21" s="222"/>
      <c r="AC21" s="228"/>
      <c r="AD21" s="229">
        <v>0.57438016528925617</v>
      </c>
      <c r="AE21" s="230">
        <v>0.57355371900826446</v>
      </c>
      <c r="AF21" s="311"/>
      <c r="AG21" s="231"/>
      <c r="AH21" s="231"/>
      <c r="AI21" s="231"/>
      <c r="AJ21" s="231"/>
      <c r="AK21" s="231"/>
      <c r="AL21" s="231"/>
      <c r="AM21" s="231"/>
      <c r="AN21" s="231"/>
      <c r="AO21" s="231"/>
      <c r="AP21" s="231"/>
      <c r="AQ21" s="231"/>
      <c r="AR21" s="231"/>
      <c r="AS21" s="231"/>
      <c r="AT21" s="231" t="str">
        <f>"    " &amp; TEXT(AE21,"#0.00%") &amp; " "</f>
        <v xml:space="preserve">    57.36% </v>
      </c>
      <c r="AU21" s="231"/>
      <c r="AV21" s="231"/>
      <c r="AW21" s="231"/>
      <c r="AX21" s="231"/>
      <c r="AY21" s="231"/>
      <c r="AZ21" s="231" t="str">
        <f>"      " &amp; "시스템 개발" &amp; " " &amp; IF(P21="","",TEXT(P21,"M/D-")) &amp; IF(Q21="","",TEXT(Q21,"M/D")) &amp; " "</f>
        <v xml:space="preserve">      시스템 개발 2/17-5/29 </v>
      </c>
      <c r="BA21" s="231"/>
      <c r="BB21" s="231"/>
      <c r="BC21" s="231"/>
      <c r="BD21" s="231"/>
      <c r="BE21" s="231"/>
      <c r="BF21" s="231"/>
      <c r="BG21" s="231"/>
      <c r="BH21" s="231"/>
    </row>
    <row r="22" spans="1:60" ht="15.6" outlineLevel="1">
      <c r="A22" s="218"/>
      <c r="B22" s="218" t="s">
        <v>1283</v>
      </c>
      <c r="C22" s="218">
        <v>2</v>
      </c>
      <c r="D22" s="219" t="s">
        <v>1363</v>
      </c>
      <c r="E22" s="220"/>
      <c r="F22" s="220" t="s">
        <v>682</v>
      </c>
      <c r="G22" s="220"/>
      <c r="H22" s="220"/>
      <c r="I22" s="220"/>
      <c r="J22" s="220"/>
      <c r="K22" s="220"/>
      <c r="L22" s="220"/>
      <c r="M22" s="220"/>
      <c r="N22" s="220"/>
      <c r="O22" s="220"/>
      <c r="P22" s="221">
        <v>43878</v>
      </c>
      <c r="Q22" s="221">
        <v>43910</v>
      </c>
      <c r="R22" s="222"/>
      <c r="S22" s="223">
        <v>32</v>
      </c>
      <c r="T22" s="223">
        <v>32</v>
      </c>
      <c r="U22" s="224">
        <v>25</v>
      </c>
      <c r="V22" s="224">
        <v>25</v>
      </c>
      <c r="W22" s="221"/>
      <c r="X22" s="221"/>
      <c r="Y22" s="225">
        <v>0</v>
      </c>
      <c r="Z22" s="226">
        <v>0</v>
      </c>
      <c r="AA22" s="227"/>
      <c r="AB22" s="222"/>
      <c r="AC22" s="228"/>
      <c r="AD22" s="229">
        <v>1</v>
      </c>
      <c r="AE22" s="230">
        <v>1</v>
      </c>
      <c r="AF22" s="311"/>
      <c r="AG22" s="231"/>
      <c r="AH22" s="231"/>
      <c r="AI22" s="231"/>
      <c r="AJ22" s="231"/>
      <c r="AK22" s="231"/>
      <c r="AL22" s="231"/>
      <c r="AM22" s="231"/>
      <c r="AN22" s="231"/>
      <c r="AO22" s="231"/>
      <c r="AP22" s="231" t="str">
        <f>"      " &amp; TEXT(AE22,"#0.00%") &amp; " " &amp; "분석" &amp; " " &amp; IF(P22="","",TEXT(P22,"M/D-")) &amp; IF(Q22="","",TEXT(Q22,"M/D")) &amp; " "</f>
        <v xml:space="preserve">      100.00% 분석 2/17-3/20 </v>
      </c>
      <c r="AQ22" s="231"/>
      <c r="AR22" s="231"/>
      <c r="AS22" s="231"/>
      <c r="AT22" s="231"/>
      <c r="AU22" s="231"/>
      <c r="AV22" s="231"/>
      <c r="AW22" s="231"/>
      <c r="AX22" s="231"/>
      <c r="AY22" s="231"/>
      <c r="AZ22" s="231"/>
      <c r="BA22" s="231"/>
      <c r="BB22" s="231"/>
      <c r="BC22" s="231"/>
      <c r="BD22" s="231"/>
      <c r="BE22" s="231"/>
      <c r="BF22" s="231"/>
      <c r="BG22" s="231"/>
      <c r="BH22" s="231"/>
    </row>
    <row r="23" spans="1:60" ht="15.6" outlineLevel="2">
      <c r="A23" s="218"/>
      <c r="B23" s="218"/>
      <c r="C23" s="218">
        <v>3</v>
      </c>
      <c r="D23" s="219" t="s">
        <v>1307</v>
      </c>
      <c r="E23" s="220"/>
      <c r="F23" s="220"/>
      <c r="G23" s="220" t="s">
        <v>1394</v>
      </c>
      <c r="H23" s="220"/>
      <c r="I23" s="220"/>
      <c r="J23" s="220"/>
      <c r="K23" s="220"/>
      <c r="L23" s="220"/>
      <c r="M23" s="220"/>
      <c r="N23" s="220"/>
      <c r="O23" s="220"/>
      <c r="P23" s="221">
        <v>43878</v>
      </c>
      <c r="Q23" s="221">
        <v>43887</v>
      </c>
      <c r="R23" s="222"/>
      <c r="S23" s="223">
        <v>8</v>
      </c>
      <c r="T23" s="223">
        <v>8</v>
      </c>
      <c r="U23" s="224">
        <v>8</v>
      </c>
      <c r="V23" s="224">
        <v>8</v>
      </c>
      <c r="W23" s="221">
        <v>43700</v>
      </c>
      <c r="X23" s="221">
        <v>43718</v>
      </c>
      <c r="Y23" s="225">
        <v>13</v>
      </c>
      <c r="Z23" s="226">
        <v>13</v>
      </c>
      <c r="AA23" s="227">
        <v>1</v>
      </c>
      <c r="AB23" s="222" t="s">
        <v>1485</v>
      </c>
      <c r="AC23" s="228" t="s">
        <v>1395</v>
      </c>
      <c r="AD23" s="229">
        <v>1</v>
      </c>
      <c r="AE23" s="230">
        <v>1</v>
      </c>
      <c r="AF23" s="311"/>
      <c r="AG23" s="231"/>
      <c r="AH23" s="231"/>
      <c r="AI23" s="231"/>
      <c r="AJ23" s="231"/>
      <c r="AK23" s="231"/>
      <c r="AL23" s="231"/>
      <c r="AM23" s="231" t="str">
        <f>"    " &amp; TEXT(AE23,"#0.00%") &amp; " " &amp; "시장조사 및 벤치마킹" &amp; "(금상원, 김이든, 김주은, 문은빈, 한헤은)" &amp; " " &amp; IF(P23="","",TEXT(P23,"M/D-")) &amp; IF(Q23="","",TEXT(Q23,"M/D")) &amp; " "</f>
        <v xml:space="preserve">    100.00% 시장조사 및 벤치마킹(금상원, 김이든, 김주은, 문은빈, 한헤은) 2/17-2/26 </v>
      </c>
      <c r="AN23" s="231"/>
      <c r="AO23" s="231"/>
      <c r="AP23" s="231"/>
      <c r="AQ23" s="231"/>
      <c r="AR23" s="231"/>
      <c r="AS23" s="231"/>
      <c r="AT23" s="231"/>
      <c r="AU23" s="231"/>
      <c r="AV23" s="231"/>
      <c r="AW23" s="231"/>
      <c r="AX23" s="231"/>
      <c r="AY23" s="231"/>
      <c r="AZ23" s="231"/>
      <c r="BA23" s="231"/>
      <c r="BB23" s="231"/>
      <c r="BC23" s="231"/>
      <c r="BD23" s="231"/>
      <c r="BE23" s="231"/>
      <c r="BF23" s="231"/>
      <c r="BG23" s="231"/>
      <c r="BH23" s="231"/>
    </row>
    <row r="24" spans="1:60" ht="15.6" outlineLevel="2">
      <c r="A24" s="218"/>
      <c r="B24" s="218"/>
      <c r="C24" s="218">
        <v>3</v>
      </c>
      <c r="D24" s="219" t="s">
        <v>1309</v>
      </c>
      <c r="E24" s="220"/>
      <c r="F24" s="220"/>
      <c r="G24" s="220" t="s">
        <v>1396</v>
      </c>
      <c r="H24" s="220"/>
      <c r="I24" s="220"/>
      <c r="J24" s="220"/>
      <c r="K24" s="220"/>
      <c r="L24" s="220"/>
      <c r="M24" s="220"/>
      <c r="N24" s="220"/>
      <c r="O24" s="220"/>
      <c r="P24" s="221">
        <v>43887</v>
      </c>
      <c r="Q24" s="221">
        <v>43906</v>
      </c>
      <c r="R24" s="222"/>
      <c r="S24" s="223">
        <v>14</v>
      </c>
      <c r="T24" s="223">
        <v>14</v>
      </c>
      <c r="U24" s="224">
        <v>14</v>
      </c>
      <c r="V24" s="224">
        <v>14</v>
      </c>
      <c r="W24" s="221">
        <v>43700</v>
      </c>
      <c r="X24" s="221">
        <v>43718</v>
      </c>
      <c r="Y24" s="225">
        <v>13</v>
      </c>
      <c r="Z24" s="226">
        <v>13</v>
      </c>
      <c r="AA24" s="227">
        <v>1</v>
      </c>
      <c r="AB24" s="222" t="s">
        <v>1485</v>
      </c>
      <c r="AC24" s="228" t="s">
        <v>1397</v>
      </c>
      <c r="AD24" s="229">
        <v>1</v>
      </c>
      <c r="AE24" s="230">
        <v>1</v>
      </c>
      <c r="AF24" s="311"/>
      <c r="AG24" s="231"/>
      <c r="AH24" s="231"/>
      <c r="AI24" s="231"/>
      <c r="AJ24" s="231"/>
      <c r="AK24" s="231"/>
      <c r="AL24" s="231"/>
      <c r="AM24" s="231"/>
      <c r="AN24" s="231"/>
      <c r="AO24" s="231"/>
      <c r="AP24" s="231" t="str">
        <f>"  " &amp; TEXT(AE24,"#0.00%") &amp; " " &amp; "컨텐츠 기획" &amp; "(금상원, 김이든, 김주은, 문은빈, 한헤은)" &amp; " " &amp; IF(P24="","",TEXT(P24,"M/D-")) &amp; IF(Q24="","",TEXT(Q24,"M/D")) &amp; " "</f>
        <v xml:space="preserve">  100.00% 컨텐츠 기획(금상원, 김이든, 김주은, 문은빈, 한헤은) 2/26-3/16 </v>
      </c>
      <c r="AQ24" s="231"/>
      <c r="AR24" s="231"/>
      <c r="AS24" s="231"/>
      <c r="AT24" s="231"/>
      <c r="AU24" s="231"/>
      <c r="AV24" s="231"/>
      <c r="AW24" s="231"/>
      <c r="AX24" s="231"/>
      <c r="AY24" s="231"/>
      <c r="AZ24" s="231"/>
      <c r="BA24" s="231"/>
      <c r="BB24" s="231"/>
      <c r="BC24" s="231"/>
      <c r="BD24" s="231"/>
      <c r="BE24" s="231"/>
      <c r="BF24" s="231"/>
      <c r="BG24" s="231"/>
      <c r="BH24" s="231"/>
    </row>
    <row r="25" spans="1:60" ht="15.6" outlineLevel="2">
      <c r="A25" s="218"/>
      <c r="B25" s="218" t="s">
        <v>1283</v>
      </c>
      <c r="C25" s="218">
        <v>3</v>
      </c>
      <c r="D25" s="219" t="s">
        <v>1398</v>
      </c>
      <c r="E25" s="220"/>
      <c r="F25" s="220"/>
      <c r="G25" s="220" t="s">
        <v>1310</v>
      </c>
      <c r="H25" s="220"/>
      <c r="I25" s="220"/>
      <c r="J25" s="220"/>
      <c r="K25" s="220"/>
      <c r="L25" s="220"/>
      <c r="M25" s="220"/>
      <c r="N25" s="220"/>
      <c r="O25" s="220"/>
      <c r="P25" s="221">
        <v>43906</v>
      </c>
      <c r="Q25" s="221">
        <v>43910</v>
      </c>
      <c r="R25" s="222"/>
      <c r="S25" s="223">
        <v>10</v>
      </c>
      <c r="T25" s="223">
        <v>10</v>
      </c>
      <c r="U25" s="224">
        <v>5</v>
      </c>
      <c r="V25" s="224">
        <v>5</v>
      </c>
      <c r="W25" s="221"/>
      <c r="X25" s="221"/>
      <c r="Y25" s="225">
        <v>0</v>
      </c>
      <c r="Z25" s="226">
        <v>0</v>
      </c>
      <c r="AA25" s="227"/>
      <c r="AB25" s="222"/>
      <c r="AC25" s="228"/>
      <c r="AD25" s="229">
        <v>1</v>
      </c>
      <c r="AE25" s="230">
        <v>1</v>
      </c>
      <c r="AF25" s="311"/>
      <c r="AG25" s="231"/>
      <c r="AH25" s="231"/>
      <c r="AI25" s="231"/>
      <c r="AJ25" s="231"/>
      <c r="AK25" s="231"/>
      <c r="AL25" s="231"/>
      <c r="AM25" s="231"/>
      <c r="AN25" s="231"/>
      <c r="AO25" s="231"/>
      <c r="AP25" s="231" t="str">
        <f>"      " &amp; TEXT(AE25,"#0.00%") &amp; " " &amp; "논리모델구축" &amp; " " &amp; IF(P25="","",TEXT(P25,"M/D-")) &amp; IF(Q25="","",TEXT(Q25,"M/D")) &amp; " "</f>
        <v xml:space="preserve">      100.00% 논리모델구축 3/16-3/20 </v>
      </c>
      <c r="AQ25" s="231"/>
      <c r="AR25" s="231"/>
      <c r="AS25" s="231"/>
      <c r="AT25" s="231"/>
      <c r="AU25" s="231"/>
      <c r="AV25" s="231"/>
      <c r="AW25" s="231"/>
      <c r="AX25" s="231"/>
      <c r="AY25" s="231"/>
      <c r="AZ25" s="231"/>
      <c r="BA25" s="231"/>
      <c r="BB25" s="231"/>
      <c r="BC25" s="231"/>
      <c r="BD25" s="231"/>
      <c r="BE25" s="231"/>
      <c r="BF25" s="231"/>
      <c r="BG25" s="231"/>
      <c r="BH25" s="231"/>
    </row>
    <row r="26" spans="1:60" ht="15.6" outlineLevel="3">
      <c r="A26" s="218"/>
      <c r="B26" s="218"/>
      <c r="C26" s="218">
        <v>4</v>
      </c>
      <c r="D26" s="219" t="s">
        <v>1399</v>
      </c>
      <c r="E26" s="220"/>
      <c r="F26" s="220"/>
      <c r="G26" s="220"/>
      <c r="H26" s="220" t="s">
        <v>1312</v>
      </c>
      <c r="I26" s="220"/>
      <c r="J26" s="220"/>
      <c r="K26" s="220"/>
      <c r="L26" s="220"/>
      <c r="M26" s="220"/>
      <c r="N26" s="220"/>
      <c r="O26" s="220"/>
      <c r="P26" s="221">
        <v>43906</v>
      </c>
      <c r="Q26" s="221">
        <v>43910</v>
      </c>
      <c r="R26" s="222"/>
      <c r="S26" s="223">
        <v>5</v>
      </c>
      <c r="T26" s="223">
        <v>5</v>
      </c>
      <c r="U26" s="224">
        <v>5</v>
      </c>
      <c r="V26" s="224">
        <v>5</v>
      </c>
      <c r="W26" s="221">
        <v>43710</v>
      </c>
      <c r="X26" s="221">
        <v>43733</v>
      </c>
      <c r="Y26" s="225">
        <v>16</v>
      </c>
      <c r="Z26" s="226">
        <v>16</v>
      </c>
      <c r="AA26" s="227">
        <v>1</v>
      </c>
      <c r="AB26" s="222" t="s">
        <v>1405</v>
      </c>
      <c r="AC26" s="228"/>
      <c r="AD26" s="229">
        <v>1</v>
      </c>
      <c r="AE26" s="230">
        <v>1</v>
      </c>
      <c r="AF26" s="311"/>
      <c r="AG26" s="231"/>
      <c r="AH26" s="231"/>
      <c r="AI26" s="231"/>
      <c r="AJ26" s="231"/>
      <c r="AK26" s="231"/>
      <c r="AL26" s="231"/>
      <c r="AM26" s="231"/>
      <c r="AN26" s="231"/>
      <c r="AO26" s="231"/>
      <c r="AP26" s="231" t="str">
        <f>"      " &amp; TEXT(AE26,"#0.00%") &amp; " " &amp; "프로세스모델링" &amp; "(김주은)" &amp; " " &amp; IF(P26="","",TEXT(P26,"M/D-")) &amp; IF(Q26="","",TEXT(Q26,"M/D")) &amp; " "</f>
        <v xml:space="preserve">      100.00% 프로세스모델링(김주은) 3/16-3/20 </v>
      </c>
      <c r="AQ26" s="231"/>
      <c r="AR26" s="231"/>
      <c r="AS26" s="231"/>
      <c r="AT26" s="231"/>
      <c r="AU26" s="231"/>
      <c r="AV26" s="231"/>
      <c r="AW26" s="231"/>
      <c r="AX26" s="231"/>
      <c r="AY26" s="231"/>
      <c r="AZ26" s="231"/>
      <c r="BA26" s="231"/>
      <c r="BB26" s="231"/>
      <c r="BC26" s="231"/>
      <c r="BD26" s="231"/>
      <c r="BE26" s="231"/>
      <c r="BF26" s="231"/>
      <c r="BG26" s="231"/>
      <c r="BH26" s="231"/>
    </row>
    <row r="27" spans="1:60" ht="15.6" outlineLevel="3">
      <c r="A27" s="218"/>
      <c r="B27" s="218"/>
      <c r="C27" s="218">
        <v>4</v>
      </c>
      <c r="D27" s="219" t="s">
        <v>1400</v>
      </c>
      <c r="E27" s="220"/>
      <c r="F27" s="220"/>
      <c r="G27" s="220"/>
      <c r="H27" s="220" t="s">
        <v>1314</v>
      </c>
      <c r="I27" s="220"/>
      <c r="J27" s="220"/>
      <c r="K27" s="220"/>
      <c r="L27" s="220"/>
      <c r="M27" s="220"/>
      <c r="N27" s="220"/>
      <c r="O27" s="220"/>
      <c r="P27" s="221">
        <v>43906</v>
      </c>
      <c r="Q27" s="221">
        <v>43910</v>
      </c>
      <c r="R27" s="222"/>
      <c r="S27" s="223">
        <v>5</v>
      </c>
      <c r="T27" s="223">
        <v>5</v>
      </c>
      <c r="U27" s="224">
        <v>5</v>
      </c>
      <c r="V27" s="224">
        <v>5</v>
      </c>
      <c r="W27" s="221">
        <v>43706</v>
      </c>
      <c r="X27" s="221"/>
      <c r="Y27" s="225">
        <v>-31211</v>
      </c>
      <c r="Z27" s="226">
        <v>0</v>
      </c>
      <c r="AA27" s="227">
        <v>1</v>
      </c>
      <c r="AB27" s="222" t="s">
        <v>1486</v>
      </c>
      <c r="AC27" s="228"/>
      <c r="AD27" s="229">
        <v>1</v>
      </c>
      <c r="AE27" s="230">
        <v>1</v>
      </c>
      <c r="AF27" s="311"/>
      <c r="AG27" s="231"/>
      <c r="AH27" s="231"/>
      <c r="AI27" s="231"/>
      <c r="AJ27" s="231"/>
      <c r="AK27" s="231"/>
      <c r="AL27" s="231"/>
      <c r="AM27" s="231"/>
      <c r="AN27" s="231"/>
      <c r="AO27" s="231"/>
      <c r="AP27" s="231" t="str">
        <f>"      " &amp; TEXT(AE27,"#0.00%") &amp; " " &amp; "데이터모델링" &amp; "(김주은, 한혜은)" &amp; " " &amp; IF(P27="","",TEXT(P27,"M/D-")) &amp; IF(Q27="","",TEXT(Q27,"M/D")) &amp; " "</f>
        <v xml:space="preserve">      100.00% 데이터모델링(김주은, 한혜은) 3/16-3/20 </v>
      </c>
      <c r="AQ27" s="231"/>
      <c r="AR27" s="231"/>
      <c r="AS27" s="231"/>
      <c r="AT27" s="231"/>
      <c r="AU27" s="231"/>
      <c r="AV27" s="231"/>
      <c r="AW27" s="231"/>
      <c r="AX27" s="231"/>
      <c r="AY27" s="231"/>
      <c r="AZ27" s="231"/>
      <c r="BA27" s="231"/>
      <c r="BB27" s="231"/>
      <c r="BC27" s="231"/>
      <c r="BD27" s="231"/>
      <c r="BE27" s="231"/>
      <c r="BF27" s="231"/>
      <c r="BG27" s="231"/>
      <c r="BH27" s="231"/>
    </row>
    <row r="28" spans="1:60" ht="15.6" outlineLevel="1">
      <c r="A28" s="218"/>
      <c r="B28" s="218" t="s">
        <v>1283</v>
      </c>
      <c r="C28" s="218">
        <v>2</v>
      </c>
      <c r="D28" s="219" t="s">
        <v>1364</v>
      </c>
      <c r="E28" s="220"/>
      <c r="F28" s="220" t="s">
        <v>1006</v>
      </c>
      <c r="G28" s="220"/>
      <c r="H28" s="220"/>
      <c r="I28" s="220"/>
      <c r="J28" s="220"/>
      <c r="K28" s="220"/>
      <c r="L28" s="220"/>
      <c r="M28" s="220"/>
      <c r="N28" s="220"/>
      <c r="O28" s="220"/>
      <c r="P28" s="221">
        <v>43906</v>
      </c>
      <c r="Q28" s="221">
        <v>43928</v>
      </c>
      <c r="R28" s="222"/>
      <c r="S28" s="223">
        <v>40</v>
      </c>
      <c r="T28" s="223">
        <v>40</v>
      </c>
      <c r="U28" s="224">
        <v>17</v>
      </c>
      <c r="V28" s="224">
        <v>17</v>
      </c>
      <c r="W28" s="221"/>
      <c r="X28" s="221"/>
      <c r="Y28" s="225">
        <v>0</v>
      </c>
      <c r="Z28" s="226">
        <v>0</v>
      </c>
      <c r="AA28" s="227"/>
      <c r="AB28" s="222"/>
      <c r="AC28" s="228"/>
      <c r="AD28" s="229">
        <v>1</v>
      </c>
      <c r="AE28" s="230">
        <v>1</v>
      </c>
      <c r="AF28" s="311"/>
      <c r="AG28" s="231"/>
      <c r="AH28" s="231"/>
      <c r="AI28" s="231"/>
      <c r="AJ28" s="231"/>
      <c r="AK28" s="231"/>
      <c r="AL28" s="231"/>
      <c r="AM28" s="231"/>
      <c r="AN28" s="231"/>
      <c r="AO28" s="231"/>
      <c r="AP28" s="231"/>
      <c r="AQ28" s="231"/>
      <c r="AR28" s="231"/>
      <c r="AS28" s="231" t="str">
        <f>"   " &amp; TEXT(AE28,"#0.00%") &amp; " " &amp; "설계" &amp; " " &amp; IF(P28="","",TEXT(P28,"M/D-")) &amp; IF(Q28="","",TEXT(Q28,"M/D")) &amp; " "</f>
        <v xml:space="preserve">   100.00% 설계 3/16-4/7 </v>
      </c>
      <c r="AT28" s="231"/>
      <c r="AU28" s="231"/>
      <c r="AV28" s="231"/>
      <c r="AW28" s="231"/>
      <c r="AX28" s="231"/>
      <c r="AY28" s="231"/>
      <c r="AZ28" s="231"/>
      <c r="BA28" s="231"/>
      <c r="BB28" s="231"/>
      <c r="BC28" s="231"/>
      <c r="BD28" s="231"/>
      <c r="BE28" s="231"/>
      <c r="BF28" s="231"/>
      <c r="BG28" s="231"/>
      <c r="BH28" s="231"/>
    </row>
    <row r="29" spans="1:60" ht="15.6" outlineLevel="2">
      <c r="A29" s="218"/>
      <c r="B29" s="218"/>
      <c r="C29" s="218">
        <v>3</v>
      </c>
      <c r="D29" s="219" t="s">
        <v>1315</v>
      </c>
      <c r="E29" s="220"/>
      <c r="F29" s="220"/>
      <c r="G29" s="220" t="s">
        <v>1316</v>
      </c>
      <c r="H29" s="220"/>
      <c r="I29" s="220"/>
      <c r="J29" s="220"/>
      <c r="K29" s="220"/>
      <c r="L29" s="220"/>
      <c r="M29" s="220"/>
      <c r="N29" s="220"/>
      <c r="O29" s="220"/>
      <c r="P29" s="221">
        <v>43906</v>
      </c>
      <c r="Q29" s="221">
        <v>43928</v>
      </c>
      <c r="R29" s="222"/>
      <c r="S29" s="223">
        <v>17</v>
      </c>
      <c r="T29" s="223">
        <v>17</v>
      </c>
      <c r="U29" s="224">
        <v>17</v>
      </c>
      <c r="V29" s="224">
        <v>17</v>
      </c>
      <c r="W29" s="221"/>
      <c r="X29" s="221"/>
      <c r="Y29" s="225"/>
      <c r="Z29" s="226">
        <v>0</v>
      </c>
      <c r="AA29" s="227">
        <v>1</v>
      </c>
      <c r="AB29" s="222" t="s">
        <v>1378</v>
      </c>
      <c r="AC29" s="228" t="s">
        <v>1401</v>
      </c>
      <c r="AD29" s="229">
        <v>1</v>
      </c>
      <c r="AE29" s="230">
        <v>1</v>
      </c>
      <c r="AF29" s="311"/>
      <c r="AG29" s="231"/>
      <c r="AH29" s="231"/>
      <c r="AI29" s="231"/>
      <c r="AJ29" s="231"/>
      <c r="AK29" s="231"/>
      <c r="AL29" s="231"/>
      <c r="AM29" s="231"/>
      <c r="AN29" s="231"/>
      <c r="AO29" s="231"/>
      <c r="AP29" s="231"/>
      <c r="AQ29" s="231"/>
      <c r="AR29" s="231"/>
      <c r="AS29" s="231" t="str">
        <f>"   " &amp; TEXT(AE29,"#0.00%") &amp; " " &amp; "UI 설계" &amp; "(김이든, 문은빈)" &amp; " " &amp; IF(P29="","",TEXT(P29,"M/D-")) &amp; IF(Q29="","",TEXT(Q29,"M/D")) &amp; " "</f>
        <v xml:space="preserve">   100.00% UI 설계(김이든, 문은빈) 3/16-4/7 </v>
      </c>
      <c r="AT29" s="231"/>
      <c r="AU29" s="231"/>
      <c r="AV29" s="231"/>
      <c r="AW29" s="231"/>
      <c r="AX29" s="231"/>
      <c r="AY29" s="231"/>
      <c r="AZ29" s="231"/>
      <c r="BA29" s="231"/>
      <c r="BB29" s="231"/>
      <c r="BC29" s="231"/>
      <c r="BD29" s="231"/>
      <c r="BE29" s="231"/>
      <c r="BF29" s="231"/>
      <c r="BG29" s="231"/>
      <c r="BH29" s="231"/>
    </row>
    <row r="30" spans="1:60" ht="15.6" outlineLevel="2">
      <c r="A30" s="218"/>
      <c r="B30" s="218" t="s">
        <v>1283</v>
      </c>
      <c r="C30" s="218">
        <v>3</v>
      </c>
      <c r="D30" s="219" t="s">
        <v>1317</v>
      </c>
      <c r="E30" s="220"/>
      <c r="F30" s="220"/>
      <c r="G30" s="220" t="s">
        <v>1318</v>
      </c>
      <c r="H30" s="220"/>
      <c r="I30" s="220"/>
      <c r="J30" s="220"/>
      <c r="K30" s="220"/>
      <c r="L30" s="220"/>
      <c r="M30" s="220"/>
      <c r="N30" s="220"/>
      <c r="O30" s="220"/>
      <c r="P30" s="221">
        <v>43906</v>
      </c>
      <c r="Q30" s="221">
        <v>43928</v>
      </c>
      <c r="R30" s="222"/>
      <c r="S30" s="223">
        <v>23</v>
      </c>
      <c r="T30" s="223">
        <v>23</v>
      </c>
      <c r="U30" s="224">
        <v>17</v>
      </c>
      <c r="V30" s="224">
        <v>17</v>
      </c>
      <c r="W30" s="221"/>
      <c r="X30" s="221"/>
      <c r="Y30" s="225">
        <v>0</v>
      </c>
      <c r="Z30" s="226">
        <v>0</v>
      </c>
      <c r="AA30" s="227"/>
      <c r="AB30" s="222"/>
      <c r="AC30" s="228"/>
      <c r="AD30" s="229">
        <v>1</v>
      </c>
      <c r="AE30" s="230">
        <v>1</v>
      </c>
      <c r="AF30" s="311"/>
      <c r="AG30" s="231"/>
      <c r="AH30" s="231"/>
      <c r="AI30" s="231"/>
      <c r="AJ30" s="231"/>
      <c r="AK30" s="231"/>
      <c r="AL30" s="231"/>
      <c r="AM30" s="231"/>
      <c r="AN30" s="231"/>
      <c r="AO30" s="231"/>
      <c r="AP30" s="231"/>
      <c r="AQ30" s="231"/>
      <c r="AR30" s="231"/>
      <c r="AS30" s="231" t="str">
        <f>"   " &amp; TEXT(AE30,"#0.00%") &amp; " " &amp; "시스템 설계" &amp; " " &amp; IF(P30="","",TEXT(P30,"M/D-")) &amp; IF(Q30="","",TEXT(Q30,"M/D")) &amp; " "</f>
        <v xml:space="preserve">   100.00% 시스템 설계 3/16-4/7 </v>
      </c>
      <c r="AT30" s="231"/>
      <c r="AU30" s="231"/>
      <c r="AV30" s="231"/>
      <c r="AW30" s="231"/>
      <c r="AX30" s="231"/>
      <c r="AY30" s="231"/>
      <c r="AZ30" s="231"/>
      <c r="BA30" s="231"/>
      <c r="BB30" s="231"/>
      <c r="BC30" s="231"/>
      <c r="BD30" s="231"/>
      <c r="BE30" s="231"/>
      <c r="BF30" s="231"/>
      <c r="BG30" s="231"/>
      <c r="BH30" s="231"/>
    </row>
    <row r="31" spans="1:60" ht="15.6" outlineLevel="3">
      <c r="A31" s="218"/>
      <c r="B31" s="218"/>
      <c r="C31" s="218">
        <v>4</v>
      </c>
      <c r="D31" s="219" t="s">
        <v>1319</v>
      </c>
      <c r="E31" s="220"/>
      <c r="F31" s="220"/>
      <c r="G31" s="220"/>
      <c r="H31" s="220" t="s">
        <v>1322</v>
      </c>
      <c r="I31" s="220"/>
      <c r="J31" s="220"/>
      <c r="K31" s="220"/>
      <c r="L31" s="220"/>
      <c r="M31" s="220"/>
      <c r="N31" s="220"/>
      <c r="O31" s="220"/>
      <c r="P31" s="221">
        <v>43906</v>
      </c>
      <c r="Q31" s="221">
        <v>43913</v>
      </c>
      <c r="R31" s="222"/>
      <c r="S31" s="223">
        <v>6</v>
      </c>
      <c r="T31" s="223">
        <v>6</v>
      </c>
      <c r="U31" s="224">
        <v>6</v>
      </c>
      <c r="V31" s="224">
        <v>6</v>
      </c>
      <c r="W31" s="221"/>
      <c r="X31" s="221"/>
      <c r="Y31" s="225"/>
      <c r="Z31" s="226">
        <v>0</v>
      </c>
      <c r="AA31" s="227">
        <v>1</v>
      </c>
      <c r="AB31" s="222" t="s">
        <v>1486</v>
      </c>
      <c r="AC31" s="228" t="s">
        <v>1402</v>
      </c>
      <c r="AD31" s="229">
        <v>1</v>
      </c>
      <c r="AE31" s="230">
        <v>1</v>
      </c>
      <c r="AF31" s="311"/>
      <c r="AG31" s="231"/>
      <c r="AH31" s="231"/>
      <c r="AI31" s="231"/>
      <c r="AJ31" s="231"/>
      <c r="AK31" s="231"/>
      <c r="AL31" s="231"/>
      <c r="AM31" s="231"/>
      <c r="AN31" s="231"/>
      <c r="AO31" s="231"/>
      <c r="AP31" s="231"/>
      <c r="AQ31" s="231" t="str">
        <f>"  " &amp; TEXT(AE31,"#0.00%") &amp; " " &amp; "데이터베이스설계" &amp; "(김주은, 한혜은)" &amp; " " &amp; IF(P31="","",TEXT(P31,"M/D-")) &amp; IF(Q31="","",TEXT(Q31,"M/D")) &amp; " "</f>
        <v xml:space="preserve">  100.00% 데이터베이스설계(김주은, 한혜은) 3/16-3/23 </v>
      </c>
      <c r="AR31" s="231"/>
      <c r="AS31" s="231"/>
      <c r="AT31" s="231"/>
      <c r="AU31" s="231"/>
      <c r="AV31" s="231"/>
      <c r="AW31" s="231"/>
      <c r="AX31" s="231"/>
      <c r="AY31" s="231"/>
      <c r="AZ31" s="231"/>
      <c r="BA31" s="231"/>
      <c r="BB31" s="231"/>
      <c r="BC31" s="231"/>
      <c r="BD31" s="231"/>
      <c r="BE31" s="231"/>
      <c r="BF31" s="231"/>
      <c r="BG31" s="231"/>
      <c r="BH31" s="231"/>
    </row>
    <row r="32" spans="1:60" ht="15.6" outlineLevel="3">
      <c r="A32" s="218"/>
      <c r="B32" s="218"/>
      <c r="C32" s="218">
        <v>4</v>
      </c>
      <c r="D32" s="219" t="s">
        <v>1321</v>
      </c>
      <c r="E32" s="220"/>
      <c r="F32" s="220"/>
      <c r="G32" s="220"/>
      <c r="H32" s="220" t="s">
        <v>1324</v>
      </c>
      <c r="I32" s="220"/>
      <c r="J32" s="220"/>
      <c r="K32" s="220"/>
      <c r="L32" s="220"/>
      <c r="M32" s="220"/>
      <c r="N32" s="220"/>
      <c r="O32" s="220"/>
      <c r="P32" s="221">
        <v>43906</v>
      </c>
      <c r="Q32" s="221">
        <v>43928</v>
      </c>
      <c r="R32" s="222"/>
      <c r="S32" s="223">
        <v>17</v>
      </c>
      <c r="T32" s="223">
        <v>17</v>
      </c>
      <c r="U32" s="224">
        <v>17</v>
      </c>
      <c r="V32" s="224">
        <v>17</v>
      </c>
      <c r="W32" s="221"/>
      <c r="X32" s="221"/>
      <c r="Y32" s="225"/>
      <c r="Z32" s="226">
        <v>0</v>
      </c>
      <c r="AA32" s="227">
        <v>1</v>
      </c>
      <c r="AB32" s="222" t="s">
        <v>1378</v>
      </c>
      <c r="AC32" s="228" t="s">
        <v>1403</v>
      </c>
      <c r="AD32" s="229">
        <v>1</v>
      </c>
      <c r="AE32" s="230">
        <v>1</v>
      </c>
      <c r="AF32" s="311"/>
      <c r="AG32" s="231"/>
      <c r="AH32" s="231"/>
      <c r="AI32" s="231"/>
      <c r="AJ32" s="231"/>
      <c r="AK32" s="231"/>
      <c r="AL32" s="231"/>
      <c r="AM32" s="231"/>
      <c r="AN32" s="231"/>
      <c r="AO32" s="231"/>
      <c r="AP32" s="231"/>
      <c r="AQ32" s="231"/>
      <c r="AR32" s="231"/>
      <c r="AS32" s="231" t="str">
        <f>"   " &amp; TEXT(AE32,"#0.00%") &amp; " " &amp; "프로그램설계" &amp; "(김이든, 문은빈)" &amp; " " &amp; IF(P32="","",TEXT(P32,"M/D-")) &amp; IF(Q32="","",TEXT(Q32,"M/D")) &amp; " "</f>
        <v xml:space="preserve">   100.00% 프로그램설계(김이든, 문은빈) 3/16-4/7 </v>
      </c>
      <c r="AT32" s="231"/>
      <c r="AU32" s="231"/>
      <c r="AV32" s="231"/>
      <c r="AW32" s="231"/>
      <c r="AX32" s="231"/>
      <c r="AY32" s="231"/>
      <c r="AZ32" s="231"/>
      <c r="BA32" s="231"/>
      <c r="BB32" s="231"/>
      <c r="BC32" s="231"/>
      <c r="BD32" s="231"/>
      <c r="BE32" s="231"/>
      <c r="BF32" s="231"/>
      <c r="BG32" s="231"/>
      <c r="BH32" s="231"/>
    </row>
    <row r="33" spans="1:60" ht="15.6" outlineLevel="1">
      <c r="A33" s="218"/>
      <c r="B33" s="218" t="s">
        <v>1283</v>
      </c>
      <c r="C33" s="218">
        <v>2</v>
      </c>
      <c r="D33" s="219" t="s">
        <v>1365</v>
      </c>
      <c r="E33" s="220"/>
      <c r="F33" s="220" t="s">
        <v>1350</v>
      </c>
      <c r="G33" s="220"/>
      <c r="H33" s="220"/>
      <c r="I33" s="220"/>
      <c r="J33" s="220"/>
      <c r="K33" s="220"/>
      <c r="L33" s="220"/>
      <c r="M33" s="220"/>
      <c r="N33" s="220"/>
      <c r="O33" s="220"/>
      <c r="P33" s="221">
        <v>43906</v>
      </c>
      <c r="Q33" s="221">
        <v>43980</v>
      </c>
      <c r="R33" s="222"/>
      <c r="S33" s="223">
        <v>170</v>
      </c>
      <c r="T33" s="223">
        <v>67</v>
      </c>
      <c r="U33" s="224">
        <v>52</v>
      </c>
      <c r="V33" s="224">
        <v>24</v>
      </c>
      <c r="W33" s="221"/>
      <c r="X33" s="221"/>
      <c r="Y33" s="225">
        <v>0</v>
      </c>
      <c r="Z33" s="226">
        <v>0</v>
      </c>
      <c r="AA33" s="227"/>
      <c r="AB33" s="222"/>
      <c r="AC33" s="228"/>
      <c r="AD33" s="229">
        <v>0.39411764705882352</v>
      </c>
      <c r="AE33" s="230">
        <v>0.39294117647058824</v>
      </c>
      <c r="AF33" s="311"/>
      <c r="AG33" s="231"/>
      <c r="AH33" s="231"/>
      <c r="AI33" s="231"/>
      <c r="AJ33" s="231"/>
      <c r="AK33" s="231"/>
      <c r="AL33" s="231"/>
      <c r="AM33" s="231"/>
      <c r="AN33" s="231"/>
      <c r="AO33" s="231"/>
      <c r="AP33" s="231"/>
      <c r="AQ33" s="231"/>
      <c r="AR33" s="231"/>
      <c r="AS33" s="231"/>
      <c r="AT33" s="231" t="str">
        <f>"  " &amp; TEXT(AE33,"#0.00%") &amp; " "</f>
        <v xml:space="preserve">  39.29% </v>
      </c>
      <c r="AU33" s="231"/>
      <c r="AV33" s="231"/>
      <c r="AW33" s="231"/>
      <c r="AX33" s="231"/>
      <c r="AY33" s="231"/>
      <c r="AZ33" s="231" t="str">
        <f>"      " &amp; "구현" &amp; " " &amp; IF(P33="","",TEXT(P33,"M/D-")) &amp; IF(Q33="","",TEXT(Q33,"M/D")) &amp; " "</f>
        <v xml:space="preserve">      구현 3/16-5/29 </v>
      </c>
      <c r="BA33" s="231"/>
      <c r="BB33" s="231"/>
      <c r="BC33" s="231"/>
      <c r="BD33" s="231"/>
      <c r="BE33" s="231"/>
      <c r="BF33" s="231"/>
      <c r="BG33" s="231"/>
      <c r="BH33" s="231"/>
    </row>
    <row r="34" spans="1:60" ht="15.6" outlineLevel="2">
      <c r="A34" s="218"/>
      <c r="B34" s="218" t="s">
        <v>1283</v>
      </c>
      <c r="C34" s="218">
        <v>3</v>
      </c>
      <c r="D34" s="219" t="s">
        <v>1327</v>
      </c>
      <c r="E34" s="220"/>
      <c r="F34" s="220"/>
      <c r="G34" s="220" t="s">
        <v>1328</v>
      </c>
      <c r="H34" s="220"/>
      <c r="I34" s="220"/>
      <c r="J34" s="220"/>
      <c r="K34" s="220"/>
      <c r="L34" s="220"/>
      <c r="M34" s="220"/>
      <c r="N34" s="220"/>
      <c r="O34" s="220"/>
      <c r="P34" s="221">
        <v>43906</v>
      </c>
      <c r="Q34" s="221">
        <v>43980</v>
      </c>
      <c r="R34" s="222"/>
      <c r="S34" s="223">
        <v>170</v>
      </c>
      <c r="T34" s="223">
        <v>67</v>
      </c>
      <c r="U34" s="224">
        <v>52</v>
      </c>
      <c r="V34" s="224">
        <v>24</v>
      </c>
      <c r="W34" s="221"/>
      <c r="X34" s="221"/>
      <c r="Y34" s="225">
        <v>0</v>
      </c>
      <c r="Z34" s="226">
        <v>0</v>
      </c>
      <c r="AA34" s="227"/>
      <c r="AB34" s="222"/>
      <c r="AC34" s="228"/>
      <c r="AD34" s="229">
        <v>0.39411764705882352</v>
      </c>
      <c r="AE34" s="230">
        <v>0.39294117647058824</v>
      </c>
      <c r="AF34" s="311"/>
      <c r="AG34" s="231"/>
      <c r="AH34" s="231"/>
      <c r="AI34" s="231"/>
      <c r="AJ34" s="231"/>
      <c r="AK34" s="231"/>
      <c r="AL34" s="231"/>
      <c r="AM34" s="231"/>
      <c r="AN34" s="231"/>
      <c r="AO34" s="231"/>
      <c r="AP34" s="231"/>
      <c r="AQ34" s="231"/>
      <c r="AR34" s="231"/>
      <c r="AS34" s="231"/>
      <c r="AT34" s="231" t="str">
        <f>"  " &amp; TEXT(AE34,"#0.00%") &amp; " "</f>
        <v xml:space="preserve">  39.29% </v>
      </c>
      <c r="AU34" s="231"/>
      <c r="AV34" s="231"/>
      <c r="AW34" s="231"/>
      <c r="AX34" s="231"/>
      <c r="AY34" s="231"/>
      <c r="AZ34" s="231" t="str">
        <f>"      " &amp; "프로그램 개발" &amp; " " &amp; IF(P34="","",TEXT(P34,"M/D-")) &amp; IF(Q34="","",TEXT(Q34,"M/D")) &amp; " "</f>
        <v xml:space="preserve">      프로그램 개발 3/16-5/29 </v>
      </c>
      <c r="BA34" s="231"/>
      <c r="BB34" s="231"/>
      <c r="BC34" s="231"/>
      <c r="BD34" s="231"/>
      <c r="BE34" s="231"/>
      <c r="BF34" s="231"/>
      <c r="BG34" s="231"/>
      <c r="BH34" s="231"/>
    </row>
    <row r="35" spans="1:60" ht="15.6" outlineLevel="3">
      <c r="A35" s="218"/>
      <c r="B35" s="218" t="s">
        <v>1283</v>
      </c>
      <c r="C35" s="218">
        <v>4</v>
      </c>
      <c r="D35" s="219" t="s">
        <v>1329</v>
      </c>
      <c r="E35" s="220"/>
      <c r="F35" s="220"/>
      <c r="G35" s="236"/>
      <c r="H35" s="220" t="s">
        <v>1428</v>
      </c>
      <c r="I35" s="220"/>
      <c r="J35" s="220"/>
      <c r="K35" s="220"/>
      <c r="L35" s="220"/>
      <c r="M35" s="220"/>
      <c r="N35" s="220"/>
      <c r="O35" s="220"/>
      <c r="P35" s="221">
        <v>43927</v>
      </c>
      <c r="Q35" s="221">
        <v>43980</v>
      </c>
      <c r="R35" s="222"/>
      <c r="S35" s="223">
        <v>39</v>
      </c>
      <c r="T35" s="223">
        <v>11</v>
      </c>
      <c r="U35" s="224">
        <v>37</v>
      </c>
      <c r="V35" s="224">
        <v>9</v>
      </c>
      <c r="W35" s="221"/>
      <c r="X35" s="221"/>
      <c r="Y35" s="225">
        <v>0</v>
      </c>
      <c r="Z35" s="226">
        <v>0</v>
      </c>
      <c r="AA35" s="227"/>
      <c r="AB35" s="222"/>
      <c r="AC35" s="228"/>
      <c r="AD35" s="229">
        <v>0.28205128205128205</v>
      </c>
      <c r="AE35" s="230">
        <v>0.19999999999999998</v>
      </c>
      <c r="AF35" s="311"/>
      <c r="AG35" s="231"/>
      <c r="AH35" s="231"/>
      <c r="AI35" s="231"/>
      <c r="AJ35" s="231"/>
      <c r="AK35" s="231"/>
      <c r="AL35" s="231"/>
      <c r="AM35" s="231"/>
      <c r="AN35" s="231"/>
      <c r="AO35" s="231"/>
      <c r="AP35" s="231"/>
      <c r="AQ35" s="231"/>
      <c r="AR35" s="231"/>
      <c r="AS35" s="231"/>
      <c r="AT35" s="231" t="str">
        <f>"     " &amp; TEXT(AE35,"#0.00%") &amp; " "</f>
        <v xml:space="preserve">     20.00% </v>
      </c>
      <c r="AU35" s="231"/>
      <c r="AV35" s="231"/>
      <c r="AW35" s="231"/>
      <c r="AX35" s="231"/>
      <c r="AY35" s="231"/>
      <c r="AZ35" s="231" t="str">
        <f>"      " &amp; "아두이노" &amp; " " &amp; IF(P35="","",TEXT(P35,"M/D-")) &amp; IF(Q35="","",TEXT(Q35,"M/D")) &amp; " "</f>
        <v xml:space="preserve">      아두이노 4/6-5/29 </v>
      </c>
      <c r="BA35" s="231"/>
      <c r="BB35" s="231"/>
      <c r="BC35" s="231"/>
      <c r="BD35" s="231"/>
      <c r="BE35" s="231"/>
      <c r="BF35" s="231"/>
      <c r="BG35" s="231"/>
      <c r="BH35" s="231"/>
    </row>
    <row r="36" spans="1:60" ht="15.6" outlineLevel="4">
      <c r="A36" s="218"/>
      <c r="B36" s="218" t="s">
        <v>1283</v>
      </c>
      <c r="C36" s="218">
        <v>5</v>
      </c>
      <c r="D36" s="219" t="s">
        <v>1441</v>
      </c>
      <c r="E36" s="220"/>
      <c r="F36" s="220"/>
      <c r="G36" s="236"/>
      <c r="H36" s="236"/>
      <c r="I36" s="237" t="s">
        <v>1429</v>
      </c>
      <c r="J36" s="220"/>
      <c r="K36" s="220"/>
      <c r="L36" s="220"/>
      <c r="M36" s="220"/>
      <c r="N36" s="220"/>
      <c r="O36" s="220"/>
      <c r="P36" s="221">
        <v>43927</v>
      </c>
      <c r="Q36" s="221">
        <v>43928</v>
      </c>
      <c r="R36" s="222"/>
      <c r="S36" s="223">
        <v>2</v>
      </c>
      <c r="T36" s="223">
        <v>2</v>
      </c>
      <c r="U36" s="224">
        <v>2</v>
      </c>
      <c r="V36" s="224">
        <v>2</v>
      </c>
      <c r="W36" s="221"/>
      <c r="X36" s="221"/>
      <c r="Y36" s="225">
        <v>0</v>
      </c>
      <c r="Z36" s="226">
        <v>0</v>
      </c>
      <c r="AA36" s="227"/>
      <c r="AB36" s="222"/>
      <c r="AC36" s="228"/>
      <c r="AD36" s="229">
        <v>1</v>
      </c>
      <c r="AE36" s="230">
        <v>1</v>
      </c>
      <c r="AF36" s="311"/>
      <c r="AG36" s="231"/>
      <c r="AH36" s="231"/>
      <c r="AI36" s="231"/>
      <c r="AJ36" s="231"/>
      <c r="AK36" s="231"/>
      <c r="AL36" s="231"/>
      <c r="AM36" s="231"/>
      <c r="AN36" s="231"/>
      <c r="AO36" s="231"/>
      <c r="AP36" s="231"/>
      <c r="AQ36" s="231"/>
      <c r="AR36" s="231"/>
      <c r="AS36" s="231" t="str">
        <f>"   " &amp; TEXT(AE36,"#0.00%") &amp; " " &amp; "하드웨어 테스트" &amp; " " &amp; IF(P36="","",TEXT(P36,"M/D-")) &amp; IF(Q36="","",TEXT(Q36,"M/D")) &amp; " "</f>
        <v xml:space="preserve">   100.00% 하드웨어 테스트 4/6-4/7 </v>
      </c>
      <c r="AT36" s="231"/>
      <c r="AU36" s="231"/>
      <c r="AV36" s="231"/>
      <c r="AW36" s="231"/>
      <c r="AX36" s="231"/>
      <c r="AY36" s="231"/>
      <c r="AZ36" s="231"/>
      <c r="BA36" s="231"/>
      <c r="BB36" s="231"/>
      <c r="BC36" s="231"/>
      <c r="BD36" s="231"/>
      <c r="BE36" s="231"/>
      <c r="BF36" s="231"/>
      <c r="BG36" s="231"/>
      <c r="BH36" s="231"/>
    </row>
    <row r="37" spans="1:60" ht="15.6" outlineLevel="5">
      <c r="A37" s="218"/>
      <c r="B37" s="218"/>
      <c r="C37" s="218">
        <v>6</v>
      </c>
      <c r="D37" s="219" t="s">
        <v>1446</v>
      </c>
      <c r="E37" s="220"/>
      <c r="F37" s="220"/>
      <c r="G37" s="220"/>
      <c r="H37" s="238"/>
      <c r="I37" s="238"/>
      <c r="J37" s="220" t="s">
        <v>1430</v>
      </c>
      <c r="K37" s="220"/>
      <c r="L37" s="220"/>
      <c r="M37" s="220"/>
      <c r="N37" s="220"/>
      <c r="O37" s="220"/>
      <c r="P37" s="221">
        <v>43927</v>
      </c>
      <c r="Q37" s="221">
        <v>43927</v>
      </c>
      <c r="R37" s="222"/>
      <c r="S37" s="223">
        <v>1</v>
      </c>
      <c r="T37" s="223">
        <v>1</v>
      </c>
      <c r="U37" s="224">
        <v>1</v>
      </c>
      <c r="V37" s="224">
        <v>1</v>
      </c>
      <c r="W37" s="221"/>
      <c r="X37" s="221"/>
      <c r="Y37" s="225"/>
      <c r="Z37" s="226">
        <v>0</v>
      </c>
      <c r="AA37" s="227">
        <v>1</v>
      </c>
      <c r="AB37" s="222" t="s">
        <v>1508</v>
      </c>
      <c r="AC37" s="228"/>
      <c r="AD37" s="229">
        <v>1</v>
      </c>
      <c r="AE37" s="230">
        <v>1</v>
      </c>
      <c r="AF37" s="311"/>
      <c r="AG37" s="231"/>
      <c r="AH37" s="231"/>
      <c r="AI37" s="231"/>
      <c r="AJ37" s="231"/>
      <c r="AK37" s="231"/>
      <c r="AL37" s="231"/>
      <c r="AM37" s="231"/>
      <c r="AN37" s="231"/>
      <c r="AO37" s="231"/>
      <c r="AP37" s="231"/>
      <c r="AQ37" s="231"/>
      <c r="AR37" s="231"/>
      <c r="AS37" s="231" t="str">
        <f>"  " &amp; TEXT(AE37,"#0.00%") &amp; " " &amp; "ESP8266 NodeMCU테스트" &amp; "(금상원)" &amp; " " &amp; IF(P37="","",TEXT(P37,"M/D-")) &amp; IF(Q37="","",TEXT(Q37,"M/D")) &amp; " "</f>
        <v xml:space="preserve">  100.00% ESP8266 NodeMCU테스트(금상원) 4/6-4/6 </v>
      </c>
      <c r="AT37" s="231"/>
      <c r="AU37" s="231"/>
      <c r="AV37" s="231"/>
      <c r="AW37" s="231"/>
      <c r="AX37" s="231"/>
      <c r="AY37" s="231"/>
      <c r="AZ37" s="231"/>
      <c r="BA37" s="231"/>
      <c r="BB37" s="231"/>
      <c r="BC37" s="231"/>
      <c r="BD37" s="231"/>
      <c r="BE37" s="231"/>
      <c r="BF37" s="231"/>
      <c r="BG37" s="231"/>
      <c r="BH37" s="231"/>
    </row>
    <row r="38" spans="1:60" ht="15.6" outlineLevel="5">
      <c r="A38" s="218"/>
      <c r="B38" s="218"/>
      <c r="C38" s="218">
        <v>6</v>
      </c>
      <c r="D38" s="219" t="s">
        <v>1487</v>
      </c>
      <c r="E38" s="220"/>
      <c r="F38" s="220"/>
      <c r="G38" s="220"/>
      <c r="H38" s="238"/>
      <c r="I38" s="238"/>
      <c r="J38" s="220" t="s">
        <v>1431</v>
      </c>
      <c r="K38" s="220"/>
      <c r="L38" s="220"/>
      <c r="M38" s="220"/>
      <c r="N38" s="220"/>
      <c r="O38" s="220"/>
      <c r="P38" s="221">
        <v>43928</v>
      </c>
      <c r="Q38" s="221">
        <v>43928</v>
      </c>
      <c r="R38" s="222"/>
      <c r="S38" s="223">
        <v>1</v>
      </c>
      <c r="T38" s="223">
        <v>1</v>
      </c>
      <c r="U38" s="224">
        <v>1</v>
      </c>
      <c r="V38" s="224">
        <v>1</v>
      </c>
      <c r="W38" s="221"/>
      <c r="X38" s="221"/>
      <c r="Y38" s="225"/>
      <c r="Z38" s="226">
        <v>0</v>
      </c>
      <c r="AA38" s="227">
        <v>1</v>
      </c>
      <c r="AB38" s="222" t="s">
        <v>1508</v>
      </c>
      <c r="AC38" s="228"/>
      <c r="AD38" s="229">
        <v>1</v>
      </c>
      <c r="AE38" s="230">
        <v>1</v>
      </c>
      <c r="AF38" s="311"/>
      <c r="AG38" s="231"/>
      <c r="AH38" s="231"/>
      <c r="AI38" s="231"/>
      <c r="AJ38" s="231"/>
      <c r="AK38" s="231"/>
      <c r="AL38" s="231"/>
      <c r="AM38" s="231"/>
      <c r="AN38" s="231"/>
      <c r="AO38" s="231"/>
      <c r="AP38" s="231"/>
      <c r="AQ38" s="231"/>
      <c r="AR38" s="231"/>
      <c r="AS38" s="231" t="str">
        <f>"   " &amp; TEXT(AE38,"#0.00%") &amp; " " &amp; "Flex센서 테스트" &amp; "(금상원)" &amp; " " &amp; IF(P38="","",TEXT(P38,"M/D-")) &amp; IF(Q38="","",TEXT(Q38,"M/D")) &amp; " "</f>
        <v xml:space="preserve">   100.00% Flex센서 테스트(금상원) 4/7-4/7 </v>
      </c>
      <c r="AT38" s="231"/>
      <c r="AU38" s="231"/>
      <c r="AV38" s="231"/>
      <c r="AW38" s="231"/>
      <c r="AX38" s="231"/>
      <c r="AY38" s="231"/>
      <c r="AZ38" s="231"/>
      <c r="BA38" s="231"/>
      <c r="BB38" s="231"/>
      <c r="BC38" s="231"/>
      <c r="BD38" s="231"/>
      <c r="BE38" s="231"/>
      <c r="BF38" s="231"/>
      <c r="BG38" s="231"/>
      <c r="BH38" s="231"/>
    </row>
    <row r="39" spans="1:60" ht="15.6" outlineLevel="4">
      <c r="A39" s="218"/>
      <c r="B39" s="218" t="s">
        <v>1283</v>
      </c>
      <c r="C39" s="218">
        <v>5</v>
      </c>
      <c r="D39" s="219" t="s">
        <v>1442</v>
      </c>
      <c r="E39" s="220"/>
      <c r="F39" s="220"/>
      <c r="G39" s="236"/>
      <c r="H39" s="236"/>
      <c r="I39" s="220" t="s">
        <v>1432</v>
      </c>
      <c r="J39" s="220"/>
      <c r="K39" s="220"/>
      <c r="L39" s="220"/>
      <c r="M39" s="220"/>
      <c r="N39" s="220"/>
      <c r="O39" s="220"/>
      <c r="P39" s="221">
        <v>43929</v>
      </c>
      <c r="Q39" s="221">
        <v>43929</v>
      </c>
      <c r="R39" s="222"/>
      <c r="S39" s="223">
        <v>1</v>
      </c>
      <c r="T39" s="223">
        <v>1</v>
      </c>
      <c r="U39" s="224">
        <v>1</v>
      </c>
      <c r="V39" s="224">
        <v>1</v>
      </c>
      <c r="W39" s="221"/>
      <c r="X39" s="221"/>
      <c r="Y39" s="225">
        <v>0</v>
      </c>
      <c r="Z39" s="226">
        <v>0</v>
      </c>
      <c r="AA39" s="227"/>
      <c r="AB39" s="222"/>
      <c r="AC39" s="228"/>
      <c r="AD39" s="229">
        <v>1</v>
      </c>
      <c r="AE39" s="230">
        <v>1</v>
      </c>
      <c r="AF39" s="311"/>
      <c r="AG39" s="231"/>
      <c r="AH39" s="231"/>
      <c r="AI39" s="231"/>
      <c r="AJ39" s="231"/>
      <c r="AK39" s="231"/>
      <c r="AL39" s="231"/>
      <c r="AM39" s="231"/>
      <c r="AN39" s="231"/>
      <c r="AO39" s="231"/>
      <c r="AP39" s="231"/>
      <c r="AQ39" s="231"/>
      <c r="AR39" s="231"/>
      <c r="AS39" s="231" t="str">
        <f>"    " &amp; TEXT(AE39,"#0.00%") &amp; " " &amp; "Mqtt통신 테스트" &amp; " " &amp; IF(P39="","",TEXT(P39,"M/D-")) &amp; IF(Q39="","",TEXT(Q39,"M/D")) &amp; " "</f>
        <v xml:space="preserve">    100.00% Mqtt통신 테스트 4/8-4/8 </v>
      </c>
      <c r="AT39" s="231"/>
      <c r="AU39" s="231"/>
      <c r="AV39" s="231"/>
      <c r="AW39" s="231"/>
      <c r="AX39" s="231"/>
      <c r="AY39" s="231"/>
      <c r="AZ39" s="231"/>
      <c r="BA39" s="231"/>
      <c r="BB39" s="231"/>
      <c r="BC39" s="231"/>
      <c r="BD39" s="231"/>
      <c r="BE39" s="231"/>
      <c r="BF39" s="231"/>
      <c r="BG39" s="231"/>
      <c r="BH39" s="231"/>
    </row>
    <row r="40" spans="1:60" ht="15.6" outlineLevel="5">
      <c r="A40" s="218"/>
      <c r="B40" s="218"/>
      <c r="C40" s="218">
        <v>6</v>
      </c>
      <c r="D40" s="219" t="s">
        <v>1447</v>
      </c>
      <c r="E40" s="220"/>
      <c r="F40" s="220"/>
      <c r="G40" s="238"/>
      <c r="H40" s="220"/>
      <c r="I40" s="238"/>
      <c r="J40" s="220" t="s">
        <v>1433</v>
      </c>
      <c r="K40" s="220"/>
      <c r="L40" s="220"/>
      <c r="M40" s="220"/>
      <c r="N40" s="220"/>
      <c r="O40" s="220"/>
      <c r="P40" s="221">
        <v>43929</v>
      </c>
      <c r="Q40" s="221">
        <v>43929</v>
      </c>
      <c r="R40" s="222"/>
      <c r="S40" s="223">
        <v>1</v>
      </c>
      <c r="T40" s="223">
        <v>1</v>
      </c>
      <c r="U40" s="224">
        <v>1</v>
      </c>
      <c r="V40" s="224">
        <v>1</v>
      </c>
      <c r="W40" s="221"/>
      <c r="X40" s="221"/>
      <c r="Y40" s="225"/>
      <c r="Z40" s="226">
        <v>0</v>
      </c>
      <c r="AA40" s="227">
        <v>1</v>
      </c>
      <c r="AB40" s="222" t="s">
        <v>1508</v>
      </c>
      <c r="AC40" s="228"/>
      <c r="AD40" s="229">
        <v>1</v>
      </c>
      <c r="AE40" s="230">
        <v>1</v>
      </c>
      <c r="AF40" s="311"/>
      <c r="AG40" s="231"/>
      <c r="AH40" s="231"/>
      <c r="AI40" s="231"/>
      <c r="AJ40" s="231"/>
      <c r="AK40" s="231"/>
      <c r="AL40" s="231"/>
      <c r="AM40" s="231"/>
      <c r="AN40" s="231"/>
      <c r="AO40" s="231"/>
      <c r="AP40" s="231"/>
      <c r="AQ40" s="231"/>
      <c r="AR40" s="231"/>
      <c r="AS40" s="231" t="str">
        <f>"    " &amp; TEXT(AE40,"#0.00%") &amp; " " &amp; "Mqtt통신 테스트 및 오류 수정" &amp; "(금상원)" &amp; " " &amp; IF(P40="","",TEXT(P40,"M/D-")) &amp; IF(Q40="","",TEXT(Q40,"M/D")) &amp; " "</f>
        <v xml:space="preserve">    100.00% Mqtt통신 테스트 및 오류 수정(금상원) 4/8-4/8 </v>
      </c>
      <c r="AT40" s="231"/>
      <c r="AU40" s="231"/>
      <c r="AV40" s="231"/>
      <c r="AW40" s="231"/>
      <c r="AX40" s="231"/>
      <c r="AY40" s="231"/>
      <c r="AZ40" s="231"/>
      <c r="BA40" s="231"/>
      <c r="BB40" s="231"/>
      <c r="BC40" s="231"/>
      <c r="BD40" s="231"/>
      <c r="BE40" s="231"/>
      <c r="BF40" s="231"/>
      <c r="BG40" s="231"/>
      <c r="BH40" s="231"/>
    </row>
    <row r="41" spans="1:60" ht="15.6" outlineLevel="4">
      <c r="A41" s="218"/>
      <c r="B41" s="218" t="s">
        <v>1283</v>
      </c>
      <c r="C41" s="218">
        <v>5</v>
      </c>
      <c r="D41" s="219" t="s">
        <v>1448</v>
      </c>
      <c r="E41" s="220"/>
      <c r="F41" s="220"/>
      <c r="G41" s="236"/>
      <c r="H41" s="236"/>
      <c r="I41" s="220" t="s">
        <v>1212</v>
      </c>
      <c r="J41" s="220"/>
      <c r="K41" s="220"/>
      <c r="L41" s="220"/>
      <c r="M41" s="220"/>
      <c r="N41" s="220"/>
      <c r="O41" s="220"/>
      <c r="P41" s="221">
        <v>43929</v>
      </c>
      <c r="Q41" s="221">
        <v>43931</v>
      </c>
      <c r="R41" s="222"/>
      <c r="S41" s="223">
        <v>4</v>
      </c>
      <c r="T41" s="223">
        <v>4</v>
      </c>
      <c r="U41" s="224">
        <v>3</v>
      </c>
      <c r="V41" s="224">
        <v>3</v>
      </c>
      <c r="W41" s="221"/>
      <c r="X41" s="221"/>
      <c r="Y41" s="225">
        <v>0</v>
      </c>
      <c r="Z41" s="226">
        <v>0</v>
      </c>
      <c r="AA41" s="227"/>
      <c r="AB41" s="222"/>
      <c r="AC41" s="228"/>
      <c r="AD41" s="229">
        <v>1</v>
      </c>
      <c r="AE41" s="230">
        <v>1</v>
      </c>
      <c r="AF41" s="311"/>
      <c r="AG41" s="231"/>
      <c r="AH41" s="231"/>
      <c r="AI41" s="231"/>
      <c r="AJ41" s="231"/>
      <c r="AK41" s="231"/>
      <c r="AL41" s="231"/>
      <c r="AM41" s="231"/>
      <c r="AN41" s="231"/>
      <c r="AO41" s="231"/>
      <c r="AP41" s="231"/>
      <c r="AQ41" s="231"/>
      <c r="AR41" s="231"/>
      <c r="AS41" s="231" t="str">
        <f>"      " &amp; TEXT(AE41,"#0.00%") &amp; " " &amp; "코딩" &amp; " " &amp; IF(P41="","",TEXT(P41,"M/D-")) &amp; IF(Q41="","",TEXT(Q41,"M/D")) &amp; " "</f>
        <v xml:space="preserve">      100.00% 코딩 4/8-4/10 </v>
      </c>
      <c r="AT41" s="231"/>
      <c r="AU41" s="231"/>
      <c r="AV41" s="231"/>
      <c r="AW41" s="231"/>
      <c r="AX41" s="231"/>
      <c r="AY41" s="231"/>
      <c r="AZ41" s="231"/>
      <c r="BA41" s="231"/>
      <c r="BB41" s="231"/>
      <c r="BC41" s="231"/>
      <c r="BD41" s="231"/>
      <c r="BE41" s="231"/>
      <c r="BF41" s="231"/>
      <c r="BG41" s="231"/>
      <c r="BH41" s="231"/>
    </row>
    <row r="42" spans="1:60" ht="15.6" outlineLevel="5">
      <c r="A42" s="218"/>
      <c r="B42" s="218"/>
      <c r="C42" s="218">
        <v>6</v>
      </c>
      <c r="D42" s="219" t="s">
        <v>1449</v>
      </c>
      <c r="E42" s="220"/>
      <c r="F42" s="220"/>
      <c r="G42" s="220"/>
      <c r="H42" s="238"/>
      <c r="I42" s="238"/>
      <c r="J42" s="220" t="s">
        <v>1434</v>
      </c>
      <c r="K42" s="220"/>
      <c r="L42" s="220"/>
      <c r="M42" s="220"/>
      <c r="N42" s="220"/>
      <c r="O42" s="220"/>
      <c r="P42" s="221">
        <v>43929</v>
      </c>
      <c r="Q42" s="221">
        <v>43930</v>
      </c>
      <c r="R42" s="222"/>
      <c r="S42" s="223">
        <v>2</v>
      </c>
      <c r="T42" s="223">
        <v>2</v>
      </c>
      <c r="U42" s="224">
        <v>2</v>
      </c>
      <c r="V42" s="224">
        <v>2</v>
      </c>
      <c r="W42" s="221"/>
      <c r="X42" s="221"/>
      <c r="Y42" s="225"/>
      <c r="Z42" s="226">
        <v>0</v>
      </c>
      <c r="AA42" s="227">
        <v>1</v>
      </c>
      <c r="AB42" s="222" t="s">
        <v>1508</v>
      </c>
      <c r="AC42" s="228"/>
      <c r="AD42" s="229">
        <v>1</v>
      </c>
      <c r="AE42" s="230">
        <v>1</v>
      </c>
      <c r="AF42" s="311"/>
      <c r="AG42" s="231"/>
      <c r="AH42" s="231"/>
      <c r="AI42" s="231"/>
      <c r="AJ42" s="231"/>
      <c r="AK42" s="231"/>
      <c r="AL42" s="231"/>
      <c r="AM42" s="231"/>
      <c r="AN42" s="231"/>
      <c r="AO42" s="231"/>
      <c r="AP42" s="231"/>
      <c r="AQ42" s="231"/>
      <c r="AR42" s="231"/>
      <c r="AS42" s="231" t="str">
        <f>"     " &amp; TEXT(AE42,"#0.00%") &amp; " " &amp; "코드작성" &amp; "(금상원)" &amp; " " &amp; IF(P42="","",TEXT(P42,"M/D-")) &amp; IF(Q42="","",TEXT(Q42,"M/D")) &amp; " "</f>
        <v xml:space="preserve">     100.00% 코드작성(금상원) 4/8-4/9 </v>
      </c>
      <c r="AT42" s="231"/>
      <c r="AU42" s="231"/>
      <c r="AV42" s="231"/>
      <c r="AW42" s="231"/>
      <c r="AX42" s="231"/>
      <c r="AY42" s="231"/>
      <c r="AZ42" s="231"/>
      <c r="BA42" s="231"/>
      <c r="BB42" s="231"/>
      <c r="BC42" s="231"/>
      <c r="BD42" s="231"/>
      <c r="BE42" s="231"/>
      <c r="BF42" s="231"/>
      <c r="BG42" s="231"/>
      <c r="BH42" s="231"/>
    </row>
    <row r="43" spans="1:60" ht="15.6" outlineLevel="5">
      <c r="A43" s="218"/>
      <c r="B43" s="218"/>
      <c r="C43" s="218">
        <v>6</v>
      </c>
      <c r="D43" s="219" t="s">
        <v>1450</v>
      </c>
      <c r="E43" s="220"/>
      <c r="F43" s="220"/>
      <c r="G43" s="220"/>
      <c r="H43" s="238"/>
      <c r="I43" s="238"/>
      <c r="J43" s="220" t="s">
        <v>1435</v>
      </c>
      <c r="K43" s="220"/>
      <c r="L43" s="220"/>
      <c r="M43" s="220"/>
      <c r="N43" s="220"/>
      <c r="O43" s="220"/>
      <c r="P43" s="221">
        <v>43930</v>
      </c>
      <c r="Q43" s="221">
        <v>43931</v>
      </c>
      <c r="R43" s="222"/>
      <c r="S43" s="223">
        <v>2</v>
      </c>
      <c r="T43" s="223">
        <v>2</v>
      </c>
      <c r="U43" s="224">
        <v>2</v>
      </c>
      <c r="V43" s="224">
        <v>2</v>
      </c>
      <c r="W43" s="221"/>
      <c r="X43" s="221"/>
      <c r="Y43" s="225"/>
      <c r="Z43" s="226">
        <v>0</v>
      </c>
      <c r="AA43" s="227">
        <v>1</v>
      </c>
      <c r="AB43" s="222" t="s">
        <v>1508</v>
      </c>
      <c r="AC43" s="228"/>
      <c r="AD43" s="229">
        <v>1</v>
      </c>
      <c r="AE43" s="230">
        <v>1</v>
      </c>
      <c r="AF43" s="311"/>
      <c r="AG43" s="231"/>
      <c r="AH43" s="231"/>
      <c r="AI43" s="231"/>
      <c r="AJ43" s="231"/>
      <c r="AK43" s="231"/>
      <c r="AL43" s="231"/>
      <c r="AM43" s="231"/>
      <c r="AN43" s="231"/>
      <c r="AO43" s="231"/>
      <c r="AP43" s="231"/>
      <c r="AQ43" s="231"/>
      <c r="AR43" s="231"/>
      <c r="AS43" s="231" t="str">
        <f>"      " &amp; TEXT(AE43,"#0.00%") &amp; " " &amp; "테스트 및 오류 수정" &amp; "(금상원)" &amp; " " &amp; IF(P43="","",TEXT(P43,"M/D-")) &amp; IF(Q43="","",TEXT(Q43,"M/D")) &amp; " "</f>
        <v xml:space="preserve">      100.00% 테스트 및 오류 수정(금상원) 4/9-4/10 </v>
      </c>
      <c r="AT43" s="231"/>
      <c r="AU43" s="231"/>
      <c r="AV43" s="231"/>
      <c r="AW43" s="231"/>
      <c r="AX43" s="231"/>
      <c r="AY43" s="231"/>
      <c r="AZ43" s="231"/>
      <c r="BA43" s="231"/>
      <c r="BB43" s="231"/>
      <c r="BC43" s="231"/>
      <c r="BD43" s="231"/>
      <c r="BE43" s="231"/>
      <c r="BF43" s="231"/>
      <c r="BG43" s="231"/>
      <c r="BH43" s="231"/>
    </row>
    <row r="44" spans="1:60" ht="15.6" outlineLevel="4">
      <c r="A44" s="218"/>
      <c r="B44" s="218" t="s">
        <v>1283</v>
      </c>
      <c r="C44" s="218">
        <v>5</v>
      </c>
      <c r="D44" s="219" t="s">
        <v>1451</v>
      </c>
      <c r="E44" s="220"/>
      <c r="F44" s="220"/>
      <c r="G44" s="236"/>
      <c r="H44" s="236"/>
      <c r="I44" s="220" t="s">
        <v>1436</v>
      </c>
      <c r="J44" s="220"/>
      <c r="K44" s="220"/>
      <c r="L44" s="220"/>
      <c r="M44" s="220"/>
      <c r="N44" s="220"/>
      <c r="O44" s="220"/>
      <c r="P44" s="221">
        <v>43934</v>
      </c>
      <c r="Q44" s="221">
        <v>43980</v>
      </c>
      <c r="R44" s="222"/>
      <c r="S44" s="223">
        <v>32</v>
      </c>
      <c r="T44" s="223">
        <v>4</v>
      </c>
      <c r="U44" s="224">
        <v>32</v>
      </c>
      <c r="V44" s="224">
        <v>4</v>
      </c>
      <c r="W44" s="221"/>
      <c r="X44" s="221"/>
      <c r="Y44" s="225">
        <v>0</v>
      </c>
      <c r="Z44" s="226">
        <v>0</v>
      </c>
      <c r="AA44" s="227"/>
      <c r="AB44" s="222"/>
      <c r="AC44" s="228"/>
      <c r="AD44" s="229">
        <v>0.125</v>
      </c>
      <c r="AE44" s="230">
        <v>2.5000000000000001E-2</v>
      </c>
      <c r="AF44" s="311"/>
      <c r="AG44" s="231"/>
      <c r="AH44" s="231"/>
      <c r="AI44" s="231"/>
      <c r="AJ44" s="231"/>
      <c r="AK44" s="231"/>
      <c r="AL44" s="231"/>
      <c r="AM44" s="231"/>
      <c r="AN44" s="231"/>
      <c r="AO44" s="231"/>
      <c r="AP44" s="231"/>
      <c r="AQ44" s="231"/>
      <c r="AR44" s="231"/>
      <c r="AS44" s="231"/>
      <c r="AT44" s="231" t="str">
        <f>"  " &amp; TEXT(AE44,"#0.00%") &amp; " "</f>
        <v xml:space="preserve">  2.50% </v>
      </c>
      <c r="AU44" s="231"/>
      <c r="AV44" s="231"/>
      <c r="AW44" s="231"/>
      <c r="AX44" s="231"/>
      <c r="AY44" s="231"/>
      <c r="AZ44" s="231" t="str">
        <f>"      " &amp; "하드웨어 제작" &amp; " " &amp; IF(P44="","",TEXT(P44,"M/D-")) &amp; IF(Q44="","",TEXT(Q44,"M/D")) &amp; " "</f>
        <v xml:space="preserve">      하드웨어 제작 4/13-5/29 </v>
      </c>
      <c r="BA44" s="231"/>
      <c r="BB44" s="231"/>
      <c r="BC44" s="231"/>
      <c r="BD44" s="231"/>
      <c r="BE44" s="231"/>
      <c r="BF44" s="231"/>
      <c r="BG44" s="231"/>
      <c r="BH44" s="231"/>
    </row>
    <row r="45" spans="1:60" ht="15.6" outlineLevel="5">
      <c r="A45" s="218"/>
      <c r="B45" s="218"/>
      <c r="C45" s="218">
        <v>6</v>
      </c>
      <c r="D45" s="219" t="s">
        <v>1452</v>
      </c>
      <c r="E45" s="220"/>
      <c r="F45" s="220"/>
      <c r="G45" s="220"/>
      <c r="H45" s="238"/>
      <c r="I45" s="238"/>
      <c r="J45" s="220" t="s">
        <v>1437</v>
      </c>
      <c r="K45" s="220"/>
      <c r="L45" s="220"/>
      <c r="M45" s="220"/>
      <c r="N45" s="220"/>
      <c r="O45" s="220"/>
      <c r="P45" s="221">
        <v>43934</v>
      </c>
      <c r="Q45" s="221">
        <v>43938</v>
      </c>
      <c r="R45" s="222"/>
      <c r="S45" s="223">
        <v>4</v>
      </c>
      <c r="T45" s="223">
        <v>4</v>
      </c>
      <c r="U45" s="224">
        <v>4</v>
      </c>
      <c r="V45" s="224">
        <v>4</v>
      </c>
      <c r="W45" s="221"/>
      <c r="X45" s="221"/>
      <c r="Y45" s="225"/>
      <c r="Z45" s="226">
        <v>0</v>
      </c>
      <c r="AA45" s="227">
        <v>1</v>
      </c>
      <c r="AB45" s="222" t="s">
        <v>1508</v>
      </c>
      <c r="AC45" s="228"/>
      <c r="AD45" s="229">
        <v>1</v>
      </c>
      <c r="AE45" s="230">
        <v>0.2</v>
      </c>
      <c r="AF45" s="311"/>
      <c r="AG45" s="231"/>
      <c r="AH45" s="231"/>
      <c r="AI45" s="231"/>
      <c r="AJ45" s="231"/>
      <c r="AK45" s="231"/>
      <c r="AL45" s="231"/>
      <c r="AM45" s="231"/>
      <c r="AN45" s="231"/>
      <c r="AO45" s="231"/>
      <c r="AP45" s="231"/>
      <c r="AQ45" s="231"/>
      <c r="AR45" s="231"/>
      <c r="AS45" s="231"/>
      <c r="AT45" s="231" t="str">
        <f>"  " &amp; TEXT(AE45,"#0.00%") &amp; " " &amp; "낚시대 센서 부착 및 테스트" &amp; "(금상원)" &amp; " " &amp; IF(P45="","",TEXT(P45,"M/D-")) &amp; IF(Q45="","",TEXT(Q45,"M/D")) &amp; " "</f>
        <v xml:space="preserve">  20.00% 낚시대 센서 부착 및 테스트(금상원) 4/13-4/17 </v>
      </c>
      <c r="AU45" s="231"/>
      <c r="AV45" s="231"/>
      <c r="AW45" s="231"/>
      <c r="AX45" s="231"/>
      <c r="AY45" s="231"/>
      <c r="AZ45" s="231"/>
      <c r="BA45" s="231"/>
      <c r="BB45" s="231"/>
      <c r="BC45" s="231"/>
      <c r="BD45" s="231"/>
      <c r="BE45" s="231"/>
      <c r="BF45" s="231"/>
      <c r="BG45" s="231"/>
      <c r="BH45" s="231"/>
    </row>
    <row r="46" spans="1:60" ht="15.6" outlineLevel="5">
      <c r="A46" s="218"/>
      <c r="B46" s="218"/>
      <c r="C46" s="218">
        <v>6</v>
      </c>
      <c r="D46" s="219" t="s">
        <v>1453</v>
      </c>
      <c r="E46" s="220"/>
      <c r="F46" s="220"/>
      <c r="G46" s="220"/>
      <c r="H46" s="238"/>
      <c r="I46" s="238"/>
      <c r="J46" s="220" t="s">
        <v>1438</v>
      </c>
      <c r="K46" s="220"/>
      <c r="L46" s="220"/>
      <c r="M46" s="220"/>
      <c r="N46" s="220"/>
      <c r="O46" s="220"/>
      <c r="P46" s="221">
        <v>43941</v>
      </c>
      <c r="Q46" s="221">
        <v>43951</v>
      </c>
      <c r="R46" s="222"/>
      <c r="S46" s="223">
        <v>8</v>
      </c>
      <c r="T46" s="223">
        <v>0</v>
      </c>
      <c r="U46" s="224">
        <v>8</v>
      </c>
      <c r="V46" s="224">
        <v>0</v>
      </c>
      <c r="W46" s="221"/>
      <c r="X46" s="221"/>
      <c r="Y46" s="225"/>
      <c r="Z46" s="226">
        <v>0</v>
      </c>
      <c r="AA46" s="227">
        <v>1</v>
      </c>
      <c r="AB46" s="222" t="s">
        <v>1508</v>
      </c>
      <c r="AC46" s="228"/>
      <c r="AD46" s="229">
        <v>0</v>
      </c>
      <c r="AE46" s="230">
        <v>0</v>
      </c>
      <c r="AF46" s="311"/>
      <c r="AG46" s="231"/>
      <c r="AH46" s="231"/>
      <c r="AI46" s="231"/>
      <c r="AJ46" s="231"/>
      <c r="AK46" s="231"/>
      <c r="AL46" s="231"/>
      <c r="AM46" s="231"/>
      <c r="AN46" s="231"/>
      <c r="AO46" s="231"/>
      <c r="AP46" s="231"/>
      <c r="AQ46" s="231"/>
      <c r="AR46" s="231"/>
      <c r="AS46" s="231"/>
      <c r="AT46" s="231"/>
      <c r="AU46" s="231" t="str">
        <f>" " &amp; TEXT(AE46,"#0.00%") &amp; " " &amp; "하드웨어틀 제작" &amp; "(금상원)" &amp; " " &amp; IF(P46="","",TEXT(P46,"M/D-")) &amp; IF(Q46="","",TEXT(Q46,"M/D")) &amp; " "</f>
        <v xml:space="preserve"> 0.00% 하드웨어틀 제작(금상원) 4/20-4/30 </v>
      </c>
      <c r="AV46" s="231"/>
      <c r="AW46" s="231"/>
      <c r="AX46" s="231"/>
      <c r="AY46" s="231"/>
      <c r="AZ46" s="231"/>
      <c r="BA46" s="231"/>
      <c r="BB46" s="231"/>
      <c r="BC46" s="231"/>
      <c r="BD46" s="231"/>
      <c r="BE46" s="231"/>
      <c r="BF46" s="231"/>
      <c r="BG46" s="231"/>
      <c r="BH46" s="231"/>
    </row>
    <row r="47" spans="1:60" ht="15.6" outlineLevel="5">
      <c r="A47" s="218"/>
      <c r="B47" s="218"/>
      <c r="C47" s="218">
        <v>6</v>
      </c>
      <c r="D47" s="219" t="s">
        <v>1454</v>
      </c>
      <c r="E47" s="220"/>
      <c r="F47" s="220"/>
      <c r="G47" s="220"/>
      <c r="H47" s="238"/>
      <c r="I47" s="238"/>
      <c r="J47" s="220" t="s">
        <v>1439</v>
      </c>
      <c r="K47" s="220"/>
      <c r="L47" s="220"/>
      <c r="M47" s="220"/>
      <c r="N47" s="220"/>
      <c r="O47" s="220"/>
      <c r="P47" s="221">
        <v>43952</v>
      </c>
      <c r="Q47" s="221">
        <v>43980</v>
      </c>
      <c r="R47" s="222"/>
      <c r="S47" s="223">
        <v>20</v>
      </c>
      <c r="T47" s="223">
        <v>0</v>
      </c>
      <c r="U47" s="224">
        <v>20</v>
      </c>
      <c r="V47" s="224">
        <v>0</v>
      </c>
      <c r="W47" s="221"/>
      <c r="X47" s="221"/>
      <c r="Y47" s="225"/>
      <c r="Z47" s="226">
        <v>0</v>
      </c>
      <c r="AA47" s="227">
        <v>1</v>
      </c>
      <c r="AB47" s="222" t="s">
        <v>1508</v>
      </c>
      <c r="AC47" s="228"/>
      <c r="AD47" s="229">
        <v>0</v>
      </c>
      <c r="AE47" s="230">
        <v>0</v>
      </c>
      <c r="AF47" s="311"/>
      <c r="AG47" s="231"/>
      <c r="AH47" s="231"/>
      <c r="AI47" s="231"/>
      <c r="AJ47" s="231"/>
      <c r="AK47" s="231"/>
      <c r="AL47" s="231"/>
      <c r="AM47" s="231"/>
      <c r="AN47" s="231"/>
      <c r="AO47" s="231"/>
      <c r="AP47" s="231"/>
      <c r="AQ47" s="231"/>
      <c r="AR47" s="231"/>
      <c r="AS47" s="231"/>
      <c r="AT47" s="231"/>
      <c r="AU47" s="231"/>
      <c r="AV47" s="231" t="str">
        <f>"     " &amp; TEXT(AE47,"#0.00%") &amp; " "</f>
        <v xml:space="preserve">     0.00% </v>
      </c>
      <c r="AW47" s="231"/>
      <c r="AX47" s="231"/>
      <c r="AY47" s="231"/>
      <c r="AZ47" s="231" t="str">
        <f>"      " &amp; "완제품 만들기" &amp; "(금상원)" &amp; " " &amp; IF(P47="","",TEXT(P47,"M/D-")) &amp; IF(Q47="","",TEXT(Q47,"M/D")) &amp; " "</f>
        <v xml:space="preserve">      완제품 만들기(금상원) 5/1-5/29 </v>
      </c>
      <c r="BA47" s="231"/>
      <c r="BB47" s="231"/>
      <c r="BC47" s="231"/>
      <c r="BD47" s="231"/>
      <c r="BE47" s="231"/>
      <c r="BF47" s="231"/>
      <c r="BG47" s="231"/>
      <c r="BH47" s="231"/>
    </row>
    <row r="48" spans="1:60" ht="15.6" outlineLevel="3">
      <c r="A48" s="218"/>
      <c r="B48" s="218" t="s">
        <v>1283</v>
      </c>
      <c r="C48" s="218">
        <v>4</v>
      </c>
      <c r="D48" s="219" t="s">
        <v>1331</v>
      </c>
      <c r="E48" s="220"/>
      <c r="F48" s="220"/>
      <c r="G48" s="220"/>
      <c r="H48" s="220" t="s">
        <v>1445</v>
      </c>
      <c r="I48" s="220"/>
      <c r="J48" s="220"/>
      <c r="K48" s="220"/>
      <c r="L48" s="220"/>
      <c r="M48" s="220"/>
      <c r="N48" s="220"/>
      <c r="O48" s="220"/>
      <c r="P48" s="221">
        <v>43928</v>
      </c>
      <c r="Q48" s="221">
        <v>43968</v>
      </c>
      <c r="R48" s="222"/>
      <c r="S48" s="223">
        <v>30</v>
      </c>
      <c r="T48" s="223">
        <v>8</v>
      </c>
      <c r="U48" s="224">
        <v>26</v>
      </c>
      <c r="V48" s="224">
        <v>8</v>
      </c>
      <c r="W48" s="221"/>
      <c r="X48" s="221"/>
      <c r="Y48" s="225">
        <v>0</v>
      </c>
      <c r="Z48" s="226">
        <v>0</v>
      </c>
      <c r="AA48" s="227"/>
      <c r="AB48" s="222"/>
      <c r="AC48" s="228"/>
      <c r="AD48" s="229">
        <v>0.26666666666666666</v>
      </c>
      <c r="AE48" s="230">
        <v>0.16666666666666666</v>
      </c>
      <c r="AF48" s="311"/>
      <c r="AG48" s="231"/>
      <c r="AH48" s="231"/>
      <c r="AI48" s="231"/>
      <c r="AJ48" s="231"/>
      <c r="AK48" s="231"/>
      <c r="AL48" s="231"/>
      <c r="AM48" s="231"/>
      <c r="AN48" s="231"/>
      <c r="AO48" s="231"/>
      <c r="AP48" s="231"/>
      <c r="AQ48" s="231"/>
      <c r="AR48" s="231"/>
      <c r="AS48" s="231"/>
      <c r="AT48" s="231" t="str">
        <f>"  " &amp; TEXT(AE48,"#0.00%") &amp; " "</f>
        <v xml:space="preserve">  16.67% </v>
      </c>
      <c r="AU48" s="231"/>
      <c r="AV48" s="231"/>
      <c r="AW48" s="231"/>
      <c r="AX48" s="231"/>
      <c r="AY48" s="231" t="str">
        <f>" " &amp; "웹앱 서비스" &amp; " " &amp; IF(P48="","",TEXT(P48,"M/D-")) &amp; IF(Q48="","",TEXT(Q48,"M/D")) &amp; " "</f>
        <v xml:space="preserve"> 웹앱 서비스 4/7-5/17 </v>
      </c>
      <c r="AZ48" s="231"/>
      <c r="BA48" s="231"/>
      <c r="BB48" s="231"/>
      <c r="BC48" s="231"/>
      <c r="BD48" s="231"/>
      <c r="BE48" s="231"/>
      <c r="BF48" s="231"/>
      <c r="BG48" s="231"/>
      <c r="BH48" s="231"/>
    </row>
    <row r="49" spans="1:60" ht="15.6" outlineLevel="4">
      <c r="A49" s="239"/>
      <c r="B49" s="239"/>
      <c r="C49" s="239">
        <v>5</v>
      </c>
      <c r="D49" s="240" t="s">
        <v>1332</v>
      </c>
      <c r="E49" s="241"/>
      <c r="F49" s="241"/>
      <c r="G49" s="241"/>
      <c r="H49" s="241"/>
      <c r="I49" s="242" t="s">
        <v>1377</v>
      </c>
      <c r="J49" s="242"/>
      <c r="K49" s="242"/>
      <c r="L49" s="242"/>
      <c r="M49" s="242"/>
      <c r="N49" s="241"/>
      <c r="O49" s="241"/>
      <c r="P49" s="243">
        <v>43928</v>
      </c>
      <c r="Q49" s="243">
        <v>43934</v>
      </c>
      <c r="R49" s="244"/>
      <c r="S49" s="245">
        <v>5</v>
      </c>
      <c r="T49" s="245">
        <v>5</v>
      </c>
      <c r="U49" s="246">
        <v>5</v>
      </c>
      <c r="V49" s="246">
        <v>5</v>
      </c>
      <c r="W49" s="243"/>
      <c r="X49" s="243"/>
      <c r="Y49" s="247"/>
      <c r="Z49" s="248">
        <v>0</v>
      </c>
      <c r="AA49" s="249">
        <v>1</v>
      </c>
      <c r="AB49" s="244" t="s">
        <v>1378</v>
      </c>
      <c r="AC49" s="250"/>
      <c r="AD49" s="251">
        <v>1</v>
      </c>
      <c r="AE49" s="251">
        <v>1</v>
      </c>
      <c r="AF49" s="311"/>
      <c r="AG49" s="231"/>
      <c r="AH49" s="231"/>
      <c r="AI49" s="231"/>
      <c r="AJ49" s="231"/>
      <c r="AK49" s="231"/>
      <c r="AL49" s="231"/>
      <c r="AM49" s="231"/>
      <c r="AN49" s="231"/>
      <c r="AO49" s="231"/>
      <c r="AP49" s="231"/>
      <c r="AQ49" s="231"/>
      <c r="AR49" s="231"/>
      <c r="AS49" s="231"/>
      <c r="AT49" s="231" t="str">
        <f>"  " &amp; TEXT(AE49,"#0.00%") &amp; " " &amp; "로그인" &amp; "(김이든, 문은빈)" &amp; " " &amp; IF(P49="","",TEXT(P49,"M/D-")) &amp; IF(Q49="","",TEXT(Q49,"M/D")) &amp; " "</f>
        <v xml:space="preserve">  100.00% 로그인(김이든, 문은빈) 4/7-4/13 </v>
      </c>
      <c r="AU49" s="231"/>
      <c r="AV49" s="231"/>
      <c r="AW49" s="231"/>
      <c r="AX49" s="231"/>
      <c r="AY49" s="231"/>
      <c r="AZ49" s="231"/>
      <c r="BA49" s="231"/>
      <c r="BB49" s="231"/>
      <c r="BC49" s="231"/>
      <c r="BD49" s="231"/>
      <c r="BE49" s="231"/>
      <c r="BF49" s="231"/>
      <c r="BG49" s="231"/>
      <c r="BH49" s="231"/>
    </row>
    <row r="50" spans="1:60" ht="15.6" outlineLevel="4">
      <c r="A50" s="239"/>
      <c r="B50" s="239"/>
      <c r="C50" s="239">
        <v>5</v>
      </c>
      <c r="D50" s="240" t="s">
        <v>1339</v>
      </c>
      <c r="E50" s="241"/>
      <c r="F50" s="241"/>
      <c r="G50" s="241"/>
      <c r="H50" s="241"/>
      <c r="I50" s="242" t="s">
        <v>1379</v>
      </c>
      <c r="J50" s="242"/>
      <c r="K50" s="242"/>
      <c r="L50" s="242"/>
      <c r="M50" s="242"/>
      <c r="N50" s="241"/>
      <c r="O50" s="241"/>
      <c r="P50" s="252">
        <v>43935</v>
      </c>
      <c r="Q50" s="252">
        <v>43941</v>
      </c>
      <c r="R50" s="244"/>
      <c r="S50" s="245">
        <v>4</v>
      </c>
      <c r="T50" s="245">
        <v>3</v>
      </c>
      <c r="U50" s="246">
        <v>4</v>
      </c>
      <c r="V50" s="246">
        <v>3</v>
      </c>
      <c r="W50" s="243"/>
      <c r="X50" s="243"/>
      <c r="Y50" s="247"/>
      <c r="Z50" s="248">
        <v>0</v>
      </c>
      <c r="AA50" s="249">
        <v>1</v>
      </c>
      <c r="AB50" s="244" t="s">
        <v>1378</v>
      </c>
      <c r="AC50" s="250"/>
      <c r="AD50" s="229">
        <v>0.75</v>
      </c>
      <c r="AE50" s="253">
        <v>0</v>
      </c>
      <c r="AF50" s="311"/>
      <c r="AG50" s="231"/>
      <c r="AH50" s="231"/>
      <c r="AI50" s="231"/>
      <c r="AJ50" s="231"/>
      <c r="AK50" s="231"/>
      <c r="AL50" s="231"/>
      <c r="AM50" s="231"/>
      <c r="AN50" s="231"/>
      <c r="AO50" s="231"/>
      <c r="AP50" s="231"/>
      <c r="AQ50" s="231"/>
      <c r="AR50" s="231"/>
      <c r="AS50" s="231"/>
      <c r="AT50" s="231" t="str">
        <f>"  " &amp; TEXT(AE50,"#0.00%") &amp; " " &amp; "마이페이지(판매자)" &amp; "(김이든, 문은빈)" &amp; " " &amp; IF(P50="","",TEXT(P50,"M/D-")) &amp; IF(Q50="","",TEXT(Q50,"M/D")) &amp; " "</f>
        <v xml:space="preserve">  0.00% 마이페이지(판매자)(김이든, 문은빈) 4/14-4/20 </v>
      </c>
      <c r="AU50" s="231"/>
      <c r="AV50" s="231"/>
      <c r="AW50" s="231"/>
      <c r="AX50" s="231"/>
      <c r="AY50" s="231"/>
      <c r="AZ50" s="231"/>
      <c r="BA50" s="231"/>
      <c r="BB50" s="231"/>
      <c r="BC50" s="231"/>
      <c r="BD50" s="231"/>
      <c r="BE50" s="231"/>
      <c r="BF50" s="231"/>
      <c r="BG50" s="231"/>
      <c r="BH50" s="231"/>
    </row>
    <row r="51" spans="1:60" ht="15.6" outlineLevel="4">
      <c r="A51" s="239"/>
      <c r="B51" s="239"/>
      <c r="C51" s="239">
        <v>5</v>
      </c>
      <c r="D51" s="240" t="s">
        <v>1341</v>
      </c>
      <c r="E51" s="241"/>
      <c r="F51" s="241"/>
      <c r="G51" s="241"/>
      <c r="H51" s="241"/>
      <c r="I51" s="242" t="s">
        <v>1386</v>
      </c>
      <c r="J51" s="242"/>
      <c r="K51" s="242"/>
      <c r="L51" s="242"/>
      <c r="M51" s="242"/>
      <c r="N51" s="241"/>
      <c r="O51" s="241"/>
      <c r="P51" s="252">
        <v>43942</v>
      </c>
      <c r="Q51" s="252">
        <v>43948</v>
      </c>
      <c r="R51" s="244"/>
      <c r="S51" s="245">
        <v>5</v>
      </c>
      <c r="T51" s="245">
        <v>0</v>
      </c>
      <c r="U51" s="246">
        <v>5</v>
      </c>
      <c r="V51" s="246">
        <v>0</v>
      </c>
      <c r="W51" s="243"/>
      <c r="X51" s="243"/>
      <c r="Y51" s="247"/>
      <c r="Z51" s="248">
        <v>0</v>
      </c>
      <c r="AA51" s="249">
        <v>1</v>
      </c>
      <c r="AB51" s="244" t="s">
        <v>1378</v>
      </c>
      <c r="AC51" s="250"/>
      <c r="AD51" s="229">
        <v>0</v>
      </c>
      <c r="AE51" s="253">
        <v>0</v>
      </c>
      <c r="AF51" s="311"/>
      <c r="AG51" s="231"/>
      <c r="AH51" s="231"/>
      <c r="AI51" s="231"/>
      <c r="AJ51" s="231"/>
      <c r="AK51" s="231"/>
      <c r="AL51" s="231"/>
      <c r="AM51" s="231"/>
      <c r="AN51" s="231"/>
      <c r="AO51" s="231"/>
      <c r="AP51" s="231"/>
      <c r="AQ51" s="231"/>
      <c r="AR51" s="231"/>
      <c r="AS51" s="231"/>
      <c r="AT51" s="231"/>
      <c r="AU51" s="231" t="str">
        <f>"  " &amp; TEXT(AE51,"#0.00%") &amp; " " &amp; "마이페이지(이용자)" &amp; "(김이든, 문은빈)" &amp; " " &amp; IF(P51="","",TEXT(P51,"M/D-")) &amp; IF(Q51="","",TEXT(Q51,"M/D")) &amp; " "</f>
        <v xml:space="preserve">  0.00% 마이페이지(이용자)(김이든, 문은빈) 4/21-4/27 </v>
      </c>
      <c r="AV51" s="231"/>
      <c r="AW51" s="231"/>
      <c r="AX51" s="231"/>
      <c r="AY51" s="231"/>
      <c r="AZ51" s="231"/>
      <c r="BA51" s="231"/>
      <c r="BB51" s="231"/>
      <c r="BC51" s="231"/>
      <c r="BD51" s="231"/>
      <c r="BE51" s="231"/>
      <c r="BF51" s="231"/>
      <c r="BG51" s="231"/>
      <c r="BH51" s="231"/>
    </row>
    <row r="52" spans="1:60" ht="15.6" outlineLevel="4">
      <c r="A52" s="239"/>
      <c r="B52" s="239"/>
      <c r="C52" s="239">
        <v>5</v>
      </c>
      <c r="D52" s="240" t="s">
        <v>1343</v>
      </c>
      <c r="E52" s="241"/>
      <c r="F52" s="241"/>
      <c r="G52" s="241"/>
      <c r="H52" s="241"/>
      <c r="I52" s="242" t="s">
        <v>1380</v>
      </c>
      <c r="J52" s="242"/>
      <c r="K52" s="242"/>
      <c r="L52" s="242"/>
      <c r="M52" s="242"/>
      <c r="N52" s="241"/>
      <c r="O52" s="241"/>
      <c r="P52" s="252">
        <v>43949</v>
      </c>
      <c r="Q52" s="252">
        <v>43955</v>
      </c>
      <c r="R52" s="244"/>
      <c r="S52" s="245">
        <v>4</v>
      </c>
      <c r="T52" s="245">
        <v>0</v>
      </c>
      <c r="U52" s="246">
        <v>4</v>
      </c>
      <c r="V52" s="246">
        <v>0</v>
      </c>
      <c r="W52" s="243"/>
      <c r="X52" s="243"/>
      <c r="Y52" s="247"/>
      <c r="Z52" s="248">
        <v>0</v>
      </c>
      <c r="AA52" s="249">
        <v>1</v>
      </c>
      <c r="AB52" s="244" t="s">
        <v>1378</v>
      </c>
      <c r="AC52" s="250"/>
      <c r="AD52" s="229">
        <v>0</v>
      </c>
      <c r="AE52" s="253">
        <v>0</v>
      </c>
      <c r="AF52" s="311"/>
      <c r="AG52" s="231"/>
      <c r="AH52" s="231"/>
      <c r="AI52" s="231"/>
      <c r="AJ52" s="231"/>
      <c r="AK52" s="231"/>
      <c r="AL52" s="231"/>
      <c r="AM52" s="231"/>
      <c r="AN52" s="231"/>
      <c r="AO52" s="231"/>
      <c r="AP52" s="231"/>
      <c r="AQ52" s="231"/>
      <c r="AR52" s="231"/>
      <c r="AS52" s="231"/>
      <c r="AT52" s="231"/>
      <c r="AU52" s="231"/>
      <c r="AV52" s="231" t="str">
        <f>"  " &amp; TEXT(AE52,"#0.00%") &amp; " " &amp; "메인페이지(판매자)" &amp; "(김이든, 문은빈)" &amp; " " &amp; IF(P52="","",TEXT(P52,"M/D-")) &amp; IF(Q52="","",TEXT(Q52,"M/D")) &amp; " "</f>
        <v xml:space="preserve">  0.00% 메인페이지(판매자)(김이든, 문은빈) 4/28-5/4 </v>
      </c>
      <c r="AW52" s="231"/>
      <c r="AX52" s="231"/>
      <c r="AY52" s="231"/>
      <c r="AZ52" s="231"/>
      <c r="BA52" s="231"/>
      <c r="BB52" s="231"/>
      <c r="BC52" s="231"/>
      <c r="BD52" s="231"/>
      <c r="BE52" s="231"/>
      <c r="BF52" s="231"/>
      <c r="BG52" s="231"/>
      <c r="BH52" s="231"/>
    </row>
    <row r="53" spans="1:60" ht="15.6" outlineLevel="4">
      <c r="A53" s="239"/>
      <c r="B53" s="239"/>
      <c r="C53" s="239">
        <v>5</v>
      </c>
      <c r="D53" s="240" t="s">
        <v>1388</v>
      </c>
      <c r="E53" s="241"/>
      <c r="F53" s="241"/>
      <c r="G53" s="241"/>
      <c r="H53" s="241"/>
      <c r="I53" s="242" t="s">
        <v>1381</v>
      </c>
      <c r="J53" s="242"/>
      <c r="K53" s="242"/>
      <c r="L53" s="242"/>
      <c r="M53" s="242"/>
      <c r="N53" s="241"/>
      <c r="O53" s="241"/>
      <c r="P53" s="252">
        <v>43949</v>
      </c>
      <c r="Q53" s="252">
        <v>43955</v>
      </c>
      <c r="R53" s="244"/>
      <c r="S53" s="245">
        <v>4</v>
      </c>
      <c r="T53" s="245">
        <v>0</v>
      </c>
      <c r="U53" s="246">
        <v>4</v>
      </c>
      <c r="V53" s="246">
        <v>0</v>
      </c>
      <c r="W53" s="243"/>
      <c r="X53" s="243"/>
      <c r="Y53" s="247"/>
      <c r="Z53" s="248">
        <v>0</v>
      </c>
      <c r="AA53" s="249">
        <v>1</v>
      </c>
      <c r="AB53" s="244" t="s">
        <v>1378</v>
      </c>
      <c r="AC53" s="250"/>
      <c r="AD53" s="229">
        <v>0</v>
      </c>
      <c r="AE53" s="253">
        <v>0</v>
      </c>
      <c r="AF53" s="311"/>
      <c r="AG53" s="231"/>
      <c r="AH53" s="231"/>
      <c r="AI53" s="231"/>
      <c r="AJ53" s="231"/>
      <c r="AK53" s="231"/>
      <c r="AL53" s="231"/>
      <c r="AM53" s="231"/>
      <c r="AN53" s="231"/>
      <c r="AO53" s="231"/>
      <c r="AP53" s="231"/>
      <c r="AQ53" s="231"/>
      <c r="AR53" s="231"/>
      <c r="AS53" s="231"/>
      <c r="AT53" s="231"/>
      <c r="AU53" s="231"/>
      <c r="AV53" s="231" t="str">
        <f>"  " &amp; TEXT(AE53,"#0.00%") &amp; " " &amp; "커뮤니티" &amp; "(김이든, 문은빈)" &amp; " " &amp; IF(P53="","",TEXT(P53,"M/D-")) &amp; IF(Q53="","",TEXT(Q53,"M/D")) &amp; " "</f>
        <v xml:space="preserve">  0.00% 커뮤니티(김이든, 문은빈) 4/28-5/4 </v>
      </c>
      <c r="AW53" s="231"/>
      <c r="AX53" s="231"/>
      <c r="AY53" s="231"/>
      <c r="AZ53" s="231"/>
      <c r="BA53" s="231"/>
      <c r="BB53" s="231"/>
      <c r="BC53" s="231"/>
      <c r="BD53" s="231"/>
      <c r="BE53" s="231"/>
      <c r="BF53" s="231"/>
      <c r="BG53" s="231"/>
      <c r="BH53" s="231"/>
    </row>
    <row r="54" spans="1:60" ht="15.6" outlineLevel="4">
      <c r="A54" s="239"/>
      <c r="B54" s="239"/>
      <c r="C54" s="239">
        <v>5</v>
      </c>
      <c r="D54" s="240" t="s">
        <v>1389</v>
      </c>
      <c r="E54" s="241"/>
      <c r="F54" s="241"/>
      <c r="G54" s="241"/>
      <c r="H54" s="241"/>
      <c r="I54" s="242" t="s">
        <v>1387</v>
      </c>
      <c r="J54" s="242"/>
      <c r="K54" s="242"/>
      <c r="L54" s="242"/>
      <c r="M54" s="242"/>
      <c r="N54" s="241"/>
      <c r="O54" s="241"/>
      <c r="P54" s="252">
        <v>43957</v>
      </c>
      <c r="Q54" s="252">
        <v>43962</v>
      </c>
      <c r="R54" s="244"/>
      <c r="S54" s="245">
        <v>4</v>
      </c>
      <c r="T54" s="245">
        <v>0</v>
      </c>
      <c r="U54" s="246">
        <v>4</v>
      </c>
      <c r="V54" s="246">
        <v>0</v>
      </c>
      <c r="W54" s="243"/>
      <c r="X54" s="243"/>
      <c r="Y54" s="247"/>
      <c r="Z54" s="248">
        <v>0</v>
      </c>
      <c r="AA54" s="249">
        <v>1</v>
      </c>
      <c r="AB54" s="244" t="s">
        <v>1378</v>
      </c>
      <c r="AC54" s="250"/>
      <c r="AD54" s="229">
        <v>0</v>
      </c>
      <c r="AE54" s="253">
        <v>0</v>
      </c>
      <c r="AF54" s="311"/>
      <c r="AG54" s="231"/>
      <c r="AH54" s="231"/>
      <c r="AI54" s="231"/>
      <c r="AJ54" s="231"/>
      <c r="AK54" s="231"/>
      <c r="AL54" s="231"/>
      <c r="AM54" s="231"/>
      <c r="AN54" s="231"/>
      <c r="AO54" s="231"/>
      <c r="AP54" s="231"/>
      <c r="AQ54" s="231"/>
      <c r="AR54" s="231"/>
      <c r="AS54" s="231"/>
      <c r="AT54" s="231"/>
      <c r="AU54" s="231"/>
      <c r="AV54" s="231"/>
      <c r="AW54" s="231" t="str">
        <f>"   " &amp; TEXT(AE54,"#0.00%") &amp; " " &amp; "메인페이지(이용자)" &amp; "(김이든, 문은빈)" &amp; " " &amp; IF(P54="","",TEXT(P54,"M/D-")) &amp; IF(Q54="","",TEXT(Q54,"M/D")) &amp; " "</f>
        <v xml:space="preserve">   0.00% 메인페이지(이용자)(김이든, 문은빈) 5/6-5/11 </v>
      </c>
      <c r="AX54" s="231"/>
      <c r="AY54" s="231"/>
      <c r="AZ54" s="231"/>
      <c r="BA54" s="231"/>
      <c r="BB54" s="231"/>
      <c r="BC54" s="231"/>
      <c r="BD54" s="231"/>
      <c r="BE54" s="231"/>
      <c r="BF54" s="231"/>
      <c r="BG54" s="231"/>
      <c r="BH54" s="231"/>
    </row>
    <row r="55" spans="1:60" ht="15.6" outlineLevel="4">
      <c r="A55" s="239"/>
      <c r="B55" s="239"/>
      <c r="C55" s="239">
        <v>5</v>
      </c>
      <c r="D55" s="240" t="s">
        <v>1390</v>
      </c>
      <c r="E55" s="241"/>
      <c r="F55" s="241"/>
      <c r="G55" s="241"/>
      <c r="H55" s="241"/>
      <c r="I55" s="242" t="s">
        <v>1391</v>
      </c>
      <c r="J55" s="242"/>
      <c r="K55" s="242"/>
      <c r="L55" s="242"/>
      <c r="M55" s="242"/>
      <c r="N55" s="241"/>
      <c r="O55" s="241"/>
      <c r="P55" s="252">
        <v>43963</v>
      </c>
      <c r="Q55" s="252">
        <v>43968</v>
      </c>
      <c r="R55" s="244"/>
      <c r="S55" s="245">
        <v>4</v>
      </c>
      <c r="T55" s="245">
        <v>0</v>
      </c>
      <c r="U55" s="246">
        <v>4</v>
      </c>
      <c r="V55" s="246">
        <v>0</v>
      </c>
      <c r="W55" s="243"/>
      <c r="X55" s="243"/>
      <c r="Y55" s="247"/>
      <c r="Z55" s="248">
        <v>0</v>
      </c>
      <c r="AA55" s="249">
        <v>1</v>
      </c>
      <c r="AB55" s="244" t="s">
        <v>1378</v>
      </c>
      <c r="AC55" s="250"/>
      <c r="AD55" s="229">
        <v>0</v>
      </c>
      <c r="AE55" s="253">
        <v>0</v>
      </c>
      <c r="AF55" s="311"/>
      <c r="AG55" s="231"/>
      <c r="AH55" s="231"/>
      <c r="AI55" s="231"/>
      <c r="AJ55" s="231"/>
      <c r="AK55" s="231"/>
      <c r="AL55" s="231"/>
      <c r="AM55" s="231"/>
      <c r="AN55" s="231"/>
      <c r="AO55" s="231"/>
      <c r="AP55" s="231"/>
      <c r="AQ55" s="231"/>
      <c r="AR55" s="231"/>
      <c r="AS55" s="231"/>
      <c r="AT55" s="231"/>
      <c r="AU55" s="231"/>
      <c r="AV55" s="231"/>
      <c r="AW55" s="231"/>
      <c r="AX55" s="231" t="str">
        <f>"  " &amp; TEXT(AE55,"#0.00%") &amp; " " &amp; "랭킹" &amp; "(김이든, 문은빈)" &amp; " " &amp; IF(P55="","",TEXT(P55,"M/D-")) &amp; IF(Q55="","",TEXT(Q55,"M/D")) &amp; " "</f>
        <v xml:space="preserve">  0.00% 랭킹(김이든, 문은빈) 5/12-5/17 </v>
      </c>
      <c r="AY55" s="231"/>
      <c r="AZ55" s="231"/>
      <c r="BA55" s="231"/>
      <c r="BB55" s="231"/>
      <c r="BC55" s="231"/>
      <c r="BD55" s="231"/>
      <c r="BE55" s="231"/>
      <c r="BF55" s="231"/>
      <c r="BG55" s="231"/>
      <c r="BH55" s="231"/>
    </row>
    <row r="56" spans="1:60" ht="15.6" outlineLevel="3">
      <c r="A56" s="218"/>
      <c r="B56" s="218" t="s">
        <v>1283</v>
      </c>
      <c r="C56" s="218">
        <v>4</v>
      </c>
      <c r="D56" s="254" t="s">
        <v>1440</v>
      </c>
      <c r="E56" s="255"/>
      <c r="F56" s="255"/>
      <c r="G56" s="255"/>
      <c r="H56" s="255" t="s">
        <v>1407</v>
      </c>
      <c r="I56" s="255"/>
      <c r="J56" s="255"/>
      <c r="K56" s="220"/>
      <c r="L56" s="220"/>
      <c r="M56" s="220"/>
      <c r="N56" s="220"/>
      <c r="O56" s="220"/>
      <c r="P56" s="221">
        <v>43906</v>
      </c>
      <c r="Q56" s="221">
        <v>43968</v>
      </c>
      <c r="R56" s="222"/>
      <c r="S56" s="223">
        <v>101</v>
      </c>
      <c r="T56" s="223">
        <v>48</v>
      </c>
      <c r="U56" s="224">
        <v>42</v>
      </c>
      <c r="V56" s="224">
        <v>24</v>
      </c>
      <c r="W56" s="221"/>
      <c r="X56" s="221"/>
      <c r="Y56" s="225">
        <v>0</v>
      </c>
      <c r="Z56" s="226">
        <v>0</v>
      </c>
      <c r="AA56" s="227"/>
      <c r="AB56" s="222"/>
      <c r="AC56" s="228"/>
      <c r="AD56" s="229">
        <v>0.47524752475247523</v>
      </c>
      <c r="AE56" s="230">
        <v>0.53465346534653468</v>
      </c>
      <c r="AF56" s="311"/>
      <c r="AG56" s="231"/>
      <c r="AH56" s="231"/>
      <c r="AI56" s="231"/>
      <c r="AJ56" s="231"/>
      <c r="AK56" s="231"/>
      <c r="AL56" s="231"/>
      <c r="AM56" s="231"/>
      <c r="AN56" s="231"/>
      <c r="AO56" s="231"/>
      <c r="AP56" s="231"/>
      <c r="AQ56" s="231"/>
      <c r="AR56" s="231"/>
      <c r="AS56" s="231"/>
      <c r="AT56" s="231"/>
      <c r="AU56" s="231" t="str">
        <f>"" &amp; TEXT(AE56,"#0.00%") &amp; " "</f>
        <v xml:space="preserve">53.47% </v>
      </c>
      <c r="AV56" s="231"/>
      <c r="AW56" s="231"/>
      <c r="AX56" s="231"/>
      <c r="AY56" s="231" t="str">
        <f>" " &amp; "서버, DB" &amp; " " &amp; IF(P56="","",TEXT(P56,"M/D-")) &amp; IF(Q56="","",TEXT(Q56,"M/D")) &amp; " "</f>
        <v xml:space="preserve"> 서버, DB 3/16-5/17 </v>
      </c>
      <c r="AZ56" s="231"/>
      <c r="BA56" s="231"/>
      <c r="BB56" s="231"/>
      <c r="BC56" s="231"/>
      <c r="BD56" s="231"/>
      <c r="BE56" s="231"/>
      <c r="BF56" s="231"/>
      <c r="BG56" s="231"/>
      <c r="BH56" s="231"/>
    </row>
    <row r="57" spans="1:60" ht="15.6" outlineLevel="4">
      <c r="A57" s="218"/>
      <c r="B57" s="218" t="s">
        <v>1283</v>
      </c>
      <c r="C57" s="218">
        <v>5</v>
      </c>
      <c r="D57" s="254" t="s">
        <v>1443</v>
      </c>
      <c r="E57" s="255"/>
      <c r="F57" s="255"/>
      <c r="G57" s="255"/>
      <c r="H57" s="255"/>
      <c r="I57" s="255" t="s">
        <v>1408</v>
      </c>
      <c r="J57" s="255"/>
      <c r="K57" s="255"/>
      <c r="L57" s="255"/>
      <c r="M57" s="255"/>
      <c r="N57" s="255"/>
      <c r="O57" s="255"/>
      <c r="P57" s="221">
        <v>43906</v>
      </c>
      <c r="Q57" s="221">
        <v>43913</v>
      </c>
      <c r="R57" s="256"/>
      <c r="S57" s="257">
        <v>7</v>
      </c>
      <c r="T57" s="257">
        <v>7</v>
      </c>
      <c r="U57" s="258">
        <v>6</v>
      </c>
      <c r="V57" s="258">
        <v>6</v>
      </c>
      <c r="W57" s="259"/>
      <c r="X57" s="259"/>
      <c r="Y57" s="260">
        <v>0</v>
      </c>
      <c r="Z57" s="261">
        <v>0</v>
      </c>
      <c r="AA57" s="262"/>
      <c r="AB57" s="256"/>
      <c r="AC57" s="263"/>
      <c r="AD57" s="229">
        <v>1</v>
      </c>
      <c r="AE57" s="229">
        <v>1</v>
      </c>
      <c r="AF57" s="311"/>
      <c r="AG57" s="231"/>
      <c r="AH57" s="231"/>
      <c r="AI57" s="231"/>
      <c r="AJ57" s="231"/>
      <c r="AK57" s="231"/>
      <c r="AL57" s="231"/>
      <c r="AM57" s="231"/>
      <c r="AN57" s="231"/>
      <c r="AO57" s="231"/>
      <c r="AP57" s="231"/>
      <c r="AQ57" s="231" t="str">
        <f>"  " &amp; TEXT(AE57,"#0.00%") &amp; " " &amp; "서버구축(AWS)" &amp; " " &amp; IF(P57="","",TEXT(P57,"M/D-")) &amp; IF(Q57="","",TEXT(Q57,"M/D")) &amp; " "</f>
        <v xml:space="preserve">  100.00% 서버구축(AWS) 3/16-3/23 </v>
      </c>
      <c r="AR57" s="231"/>
      <c r="AS57" s="231"/>
      <c r="AT57" s="231"/>
      <c r="AU57" s="231"/>
      <c r="AV57" s="231"/>
      <c r="AW57" s="231"/>
      <c r="AX57" s="231"/>
      <c r="AY57" s="231"/>
      <c r="AZ57" s="231"/>
      <c r="BA57" s="231"/>
      <c r="BB57" s="231"/>
      <c r="BC57" s="231"/>
      <c r="BD57" s="231"/>
      <c r="BE57" s="231"/>
      <c r="BF57" s="231"/>
      <c r="BG57" s="231"/>
      <c r="BH57" s="231"/>
    </row>
    <row r="58" spans="1:60" ht="15.6" outlineLevel="5">
      <c r="A58" s="218"/>
      <c r="B58" s="218"/>
      <c r="C58" s="218">
        <v>6</v>
      </c>
      <c r="D58" s="219" t="s">
        <v>1488</v>
      </c>
      <c r="E58" s="220"/>
      <c r="F58" s="220"/>
      <c r="G58" s="220"/>
      <c r="H58" s="220"/>
      <c r="I58" s="220"/>
      <c r="J58" s="220" t="s">
        <v>1409</v>
      </c>
      <c r="K58" s="220"/>
      <c r="L58" s="220"/>
      <c r="M58" s="220"/>
      <c r="N58" s="220"/>
      <c r="O58" s="220"/>
      <c r="P58" s="221">
        <v>43906</v>
      </c>
      <c r="Q58" s="221">
        <v>43910</v>
      </c>
      <c r="R58" s="222"/>
      <c r="S58" s="223">
        <v>5</v>
      </c>
      <c r="T58" s="223">
        <v>5</v>
      </c>
      <c r="U58" s="224">
        <v>5</v>
      </c>
      <c r="V58" s="224">
        <v>5</v>
      </c>
      <c r="W58" s="221"/>
      <c r="X58" s="221"/>
      <c r="Y58" s="225"/>
      <c r="Z58" s="226">
        <v>0</v>
      </c>
      <c r="AA58" s="227">
        <v>1</v>
      </c>
      <c r="AB58" s="222" t="s">
        <v>1405</v>
      </c>
      <c r="AC58" s="228"/>
      <c r="AD58" s="229">
        <v>1</v>
      </c>
      <c r="AE58" s="229">
        <v>1</v>
      </c>
      <c r="AF58" s="311"/>
      <c r="AG58" s="231"/>
      <c r="AH58" s="231"/>
      <c r="AI58" s="231"/>
      <c r="AJ58" s="231"/>
      <c r="AK58" s="231"/>
      <c r="AL58" s="231"/>
      <c r="AM58" s="231"/>
      <c r="AN58" s="231"/>
      <c r="AO58" s="231"/>
      <c r="AP58" s="231" t="str">
        <f>"      " &amp; TEXT(AE58,"#0.00%") &amp; " " &amp; "EC2 인스턴스 생성" &amp; "(김주은)" &amp; " " &amp; IF(P58="","",TEXT(P58,"M/D-")) &amp; IF(Q58="","",TEXT(Q58,"M/D")) &amp; " "</f>
        <v xml:space="preserve">      100.00% EC2 인스턴스 생성(김주은) 3/16-3/20 </v>
      </c>
      <c r="AQ58" s="231"/>
      <c r="AR58" s="231"/>
      <c r="AS58" s="231"/>
      <c r="AT58" s="231"/>
      <c r="AU58" s="231"/>
      <c r="AV58" s="231"/>
      <c r="AW58" s="231"/>
      <c r="AX58" s="231"/>
      <c r="AY58" s="231"/>
      <c r="AZ58" s="231"/>
      <c r="BA58" s="231"/>
      <c r="BB58" s="231"/>
      <c r="BC58" s="231"/>
      <c r="BD58" s="231"/>
      <c r="BE58" s="231"/>
      <c r="BF58" s="231"/>
      <c r="BG58" s="231"/>
      <c r="BH58" s="231"/>
    </row>
    <row r="59" spans="1:60" ht="15.6" outlineLevel="5">
      <c r="A59" s="239"/>
      <c r="B59" s="239"/>
      <c r="C59" s="239">
        <v>6</v>
      </c>
      <c r="D59" s="240" t="s">
        <v>1489</v>
      </c>
      <c r="E59" s="241"/>
      <c r="F59" s="241"/>
      <c r="G59" s="241"/>
      <c r="H59" s="241"/>
      <c r="I59" s="241"/>
      <c r="J59" s="241" t="s">
        <v>1410</v>
      </c>
      <c r="K59" s="241"/>
      <c r="L59" s="241"/>
      <c r="M59" s="241"/>
      <c r="N59" s="241"/>
      <c r="O59" s="241"/>
      <c r="P59" s="221">
        <v>43910</v>
      </c>
      <c r="Q59" s="221">
        <v>43913</v>
      </c>
      <c r="R59" s="244"/>
      <c r="S59" s="245">
        <v>2</v>
      </c>
      <c r="T59" s="245">
        <v>2</v>
      </c>
      <c r="U59" s="246">
        <v>2</v>
      </c>
      <c r="V59" s="246">
        <v>2</v>
      </c>
      <c r="W59" s="243"/>
      <c r="X59" s="243"/>
      <c r="Y59" s="247"/>
      <c r="Z59" s="248">
        <v>0</v>
      </c>
      <c r="AA59" s="249">
        <v>1</v>
      </c>
      <c r="AB59" s="244" t="s">
        <v>1405</v>
      </c>
      <c r="AC59" s="250"/>
      <c r="AD59" s="251">
        <v>1</v>
      </c>
      <c r="AE59" s="229">
        <v>1</v>
      </c>
      <c r="AF59" s="311"/>
      <c r="AG59" s="231"/>
      <c r="AH59" s="231"/>
      <c r="AI59" s="231"/>
      <c r="AJ59" s="231"/>
      <c r="AK59" s="231"/>
      <c r="AL59" s="231"/>
      <c r="AM59" s="231"/>
      <c r="AN59" s="231"/>
      <c r="AO59" s="231"/>
      <c r="AP59" s="231"/>
      <c r="AQ59" s="231" t="str">
        <f>"  " &amp; TEXT(AE59,"#0.00%") &amp; " " &amp; "개발환경 구축" &amp; "(김주은)" &amp; " " &amp; IF(P59="","",TEXT(P59,"M/D-")) &amp; IF(Q59="","",TEXT(Q59,"M/D")) &amp; " "</f>
        <v xml:space="preserve">  100.00% 개발환경 구축(김주은) 3/20-3/23 </v>
      </c>
      <c r="AR59" s="231"/>
      <c r="AS59" s="231"/>
      <c r="AT59" s="231"/>
      <c r="AU59" s="231"/>
      <c r="AV59" s="231"/>
      <c r="AW59" s="231"/>
      <c r="AX59" s="231"/>
      <c r="AY59" s="231"/>
      <c r="AZ59" s="231"/>
      <c r="BA59" s="231"/>
      <c r="BB59" s="231"/>
      <c r="BC59" s="231"/>
      <c r="BD59" s="231"/>
      <c r="BE59" s="231"/>
      <c r="BF59" s="231"/>
      <c r="BG59" s="231"/>
      <c r="BH59" s="231"/>
    </row>
    <row r="60" spans="1:60" ht="15.6" outlineLevel="4">
      <c r="A60" s="218"/>
      <c r="B60" s="218" t="s">
        <v>1283</v>
      </c>
      <c r="C60" s="218">
        <v>5</v>
      </c>
      <c r="D60" s="254" t="s">
        <v>1444</v>
      </c>
      <c r="E60" s="255"/>
      <c r="F60" s="255"/>
      <c r="G60" s="255"/>
      <c r="H60" s="255"/>
      <c r="I60" s="255" t="s">
        <v>1490</v>
      </c>
      <c r="J60" s="255"/>
      <c r="K60" s="255"/>
      <c r="L60" s="255"/>
      <c r="M60" s="255"/>
      <c r="N60" s="255"/>
      <c r="O60" s="255"/>
      <c r="P60" s="221">
        <v>43931</v>
      </c>
      <c r="Q60" s="221">
        <v>43934</v>
      </c>
      <c r="R60" s="256"/>
      <c r="S60" s="257">
        <v>2</v>
      </c>
      <c r="T60" s="257">
        <v>2</v>
      </c>
      <c r="U60" s="258">
        <v>2</v>
      </c>
      <c r="V60" s="258">
        <v>2</v>
      </c>
      <c r="W60" s="259"/>
      <c r="X60" s="259"/>
      <c r="Y60" s="260">
        <v>0</v>
      </c>
      <c r="Z60" s="261">
        <v>0</v>
      </c>
      <c r="AA60" s="262"/>
      <c r="AB60" s="256"/>
      <c r="AC60" s="263"/>
      <c r="AD60" s="229">
        <v>1</v>
      </c>
      <c r="AE60" s="229">
        <v>1</v>
      </c>
      <c r="AF60" s="311"/>
      <c r="AG60" s="231"/>
      <c r="AH60" s="231"/>
      <c r="AI60" s="231"/>
      <c r="AJ60" s="231"/>
      <c r="AK60" s="231"/>
      <c r="AL60" s="231"/>
      <c r="AM60" s="231"/>
      <c r="AN60" s="231"/>
      <c r="AO60" s="231"/>
      <c r="AP60" s="231"/>
      <c r="AQ60" s="231"/>
      <c r="AR60" s="231"/>
      <c r="AS60" s="231"/>
      <c r="AT60" s="231" t="str">
        <f>"  " &amp; TEXT(AE60,"#0.00%") &amp; " " &amp; "RDS생성" &amp; " " &amp; IF(P60="","",TEXT(P60,"M/D-")) &amp; IF(Q60="","",TEXT(Q60,"M/D")) &amp; " "</f>
        <v xml:space="preserve">  100.00% RDS생성 4/10-4/13 </v>
      </c>
      <c r="AU60" s="231"/>
      <c r="AV60" s="231"/>
      <c r="AW60" s="231"/>
      <c r="AX60" s="231"/>
      <c r="AY60" s="231"/>
      <c r="AZ60" s="231"/>
      <c r="BA60" s="231"/>
      <c r="BB60" s="231"/>
      <c r="BC60" s="231"/>
      <c r="BD60" s="231"/>
      <c r="BE60" s="231"/>
      <c r="BF60" s="231"/>
      <c r="BG60" s="231"/>
      <c r="BH60" s="231"/>
    </row>
    <row r="61" spans="1:60" ht="15.6" outlineLevel="5">
      <c r="A61" s="218"/>
      <c r="B61" s="218"/>
      <c r="C61" s="218">
        <v>6</v>
      </c>
      <c r="D61" s="313" t="s">
        <v>1459</v>
      </c>
      <c r="E61" s="220"/>
      <c r="F61" s="220"/>
      <c r="G61" s="220"/>
      <c r="H61" s="220"/>
      <c r="I61" s="220"/>
      <c r="J61" s="220" t="s">
        <v>1495</v>
      </c>
      <c r="K61" s="220"/>
      <c r="L61" s="220"/>
      <c r="M61" s="220"/>
      <c r="N61" s="220"/>
      <c r="O61" s="220"/>
      <c r="P61" s="221">
        <v>43931</v>
      </c>
      <c r="Q61" s="221">
        <v>43934</v>
      </c>
      <c r="R61" s="222"/>
      <c r="S61" s="223">
        <v>2</v>
      </c>
      <c r="T61" s="223">
        <v>2</v>
      </c>
      <c r="U61" s="224">
        <v>2</v>
      </c>
      <c r="V61" s="224">
        <v>2</v>
      </c>
      <c r="W61" s="221"/>
      <c r="X61" s="221"/>
      <c r="Y61" s="225"/>
      <c r="Z61" s="226">
        <v>0</v>
      </c>
      <c r="AA61" s="227">
        <v>1</v>
      </c>
      <c r="AB61" s="222" t="s">
        <v>1405</v>
      </c>
      <c r="AC61" s="228"/>
      <c r="AD61" s="229">
        <v>1</v>
      </c>
      <c r="AE61" s="229">
        <v>1</v>
      </c>
      <c r="AF61" s="311"/>
      <c r="AG61" s="231"/>
      <c r="AH61" s="231"/>
      <c r="AI61" s="231"/>
      <c r="AJ61" s="231"/>
      <c r="AK61" s="231"/>
      <c r="AL61" s="231"/>
      <c r="AM61" s="231"/>
      <c r="AN61" s="231"/>
      <c r="AO61" s="231"/>
      <c r="AP61" s="231"/>
      <c r="AQ61" s="231"/>
      <c r="AR61" s="231"/>
      <c r="AS61" s="231"/>
      <c r="AT61" s="231" t="str">
        <f>"  " &amp; TEXT(AE61,"#0.00%") &amp; " " &amp; "RDS 생성 및 연동" &amp; "(김주은)" &amp; " " &amp; IF(P61="","",TEXT(P61,"M/D-")) &amp; IF(Q61="","",TEXT(Q61,"M/D")) &amp; " "</f>
        <v xml:space="preserve">  100.00% RDS 생성 및 연동(김주은) 4/10-4/13 </v>
      </c>
      <c r="AU61" s="231"/>
      <c r="AV61" s="231"/>
      <c r="AW61" s="231"/>
      <c r="AX61" s="231"/>
      <c r="AY61" s="231"/>
      <c r="AZ61" s="231"/>
      <c r="BA61" s="231"/>
      <c r="BB61" s="231"/>
      <c r="BC61" s="231"/>
      <c r="BD61" s="231"/>
      <c r="BE61" s="231"/>
      <c r="BF61" s="231"/>
      <c r="BG61" s="231"/>
      <c r="BH61" s="231"/>
    </row>
    <row r="62" spans="1:60" ht="15.6" outlineLevel="4">
      <c r="A62" s="218"/>
      <c r="B62" s="218" t="s">
        <v>1283</v>
      </c>
      <c r="C62" s="218">
        <v>5</v>
      </c>
      <c r="D62" s="254" t="s">
        <v>1455</v>
      </c>
      <c r="E62" s="255"/>
      <c r="F62" s="255"/>
      <c r="G62" s="255"/>
      <c r="H62" s="255"/>
      <c r="I62" s="255" t="s">
        <v>1512</v>
      </c>
      <c r="J62" s="255"/>
      <c r="K62" s="255"/>
      <c r="L62" s="255"/>
      <c r="M62" s="255"/>
      <c r="N62" s="255"/>
      <c r="O62" s="255"/>
      <c r="P62" s="221">
        <v>43906</v>
      </c>
      <c r="Q62" s="221">
        <v>43934</v>
      </c>
      <c r="R62" s="256"/>
      <c r="S62" s="257">
        <v>13</v>
      </c>
      <c r="T62" s="257">
        <v>13</v>
      </c>
      <c r="U62" s="258">
        <v>21</v>
      </c>
      <c r="V62" s="258">
        <v>21</v>
      </c>
      <c r="W62" s="259"/>
      <c r="X62" s="259"/>
      <c r="Y62" s="260">
        <v>0</v>
      </c>
      <c r="Z62" s="261">
        <v>0</v>
      </c>
      <c r="AA62" s="262"/>
      <c r="AB62" s="256"/>
      <c r="AC62" s="263"/>
      <c r="AD62" s="229">
        <v>1</v>
      </c>
      <c r="AE62" s="229">
        <v>1</v>
      </c>
      <c r="AF62" s="311"/>
      <c r="AG62" s="231"/>
      <c r="AH62" s="231"/>
      <c r="AI62" s="231"/>
      <c r="AJ62" s="231"/>
      <c r="AK62" s="231"/>
      <c r="AL62" s="231"/>
      <c r="AM62" s="231"/>
      <c r="AN62" s="231"/>
      <c r="AO62" s="231"/>
      <c r="AP62" s="231"/>
      <c r="AQ62" s="231"/>
      <c r="AR62" s="231"/>
      <c r="AS62" s="231"/>
      <c r="AT62" s="231" t="str">
        <f>"  " &amp; TEXT(AE62,"#0.00%") &amp; " " &amp; "DB구축" &amp; " " &amp; IF(P62="","",TEXT(P62,"M/D-")) &amp; IF(Q62="","",TEXT(Q62,"M/D")) &amp; " "</f>
        <v xml:space="preserve">  100.00% DB구축 3/16-4/13 </v>
      </c>
      <c r="AU62" s="231"/>
      <c r="AV62" s="231"/>
      <c r="AW62" s="231"/>
      <c r="AX62" s="231"/>
      <c r="AY62" s="231"/>
      <c r="AZ62" s="231"/>
      <c r="BA62" s="231"/>
      <c r="BB62" s="231"/>
      <c r="BC62" s="231"/>
      <c r="BD62" s="231"/>
      <c r="BE62" s="231"/>
      <c r="BF62" s="231"/>
      <c r="BG62" s="231"/>
      <c r="BH62" s="231"/>
    </row>
    <row r="63" spans="1:60" ht="15.6" outlineLevel="5">
      <c r="A63" s="239"/>
      <c r="B63" s="239"/>
      <c r="C63" s="239">
        <v>6</v>
      </c>
      <c r="D63" s="240" t="s">
        <v>1460</v>
      </c>
      <c r="E63" s="241"/>
      <c r="F63" s="241"/>
      <c r="G63" s="241"/>
      <c r="H63" s="241"/>
      <c r="I63" s="241"/>
      <c r="J63" s="241" t="s">
        <v>1411</v>
      </c>
      <c r="K63" s="241"/>
      <c r="L63" s="241"/>
      <c r="M63" s="241"/>
      <c r="N63" s="241"/>
      <c r="O63" s="241"/>
      <c r="P63" s="221">
        <v>43906</v>
      </c>
      <c r="Q63" s="221">
        <v>43913</v>
      </c>
      <c r="R63" s="244"/>
      <c r="S63" s="245">
        <v>6</v>
      </c>
      <c r="T63" s="245">
        <v>6</v>
      </c>
      <c r="U63" s="246">
        <v>6</v>
      </c>
      <c r="V63" s="246">
        <v>6</v>
      </c>
      <c r="W63" s="243"/>
      <c r="X63" s="243"/>
      <c r="Y63" s="247"/>
      <c r="Z63" s="248">
        <v>0</v>
      </c>
      <c r="AA63" s="249">
        <v>1</v>
      </c>
      <c r="AB63" s="244" t="s">
        <v>1486</v>
      </c>
      <c r="AC63" s="250"/>
      <c r="AD63" s="251">
        <v>1</v>
      </c>
      <c r="AE63" s="229">
        <v>1</v>
      </c>
      <c r="AF63" s="311"/>
      <c r="AG63" s="231"/>
      <c r="AH63" s="231"/>
      <c r="AI63" s="231"/>
      <c r="AJ63" s="231"/>
      <c r="AK63" s="231"/>
      <c r="AL63" s="231"/>
      <c r="AM63" s="231"/>
      <c r="AN63" s="231"/>
      <c r="AO63" s="231"/>
      <c r="AP63" s="231"/>
      <c r="AQ63" s="231" t="str">
        <f>"  " &amp; TEXT(AE63,"#0.00%") &amp; " " &amp; "스키마 생성" &amp; "(김주은, 한혜은)" &amp; " " &amp; IF(P63="","",TEXT(P63,"M/D-")) &amp; IF(Q63="","",TEXT(Q63,"M/D")) &amp; " "</f>
        <v xml:space="preserve">  100.00% 스키마 생성(김주은, 한혜은) 3/16-3/23 </v>
      </c>
      <c r="AR63" s="231"/>
      <c r="AS63" s="231"/>
      <c r="AT63" s="231"/>
      <c r="AU63" s="231"/>
      <c r="AV63" s="231"/>
      <c r="AW63" s="231"/>
      <c r="AX63" s="231"/>
      <c r="AY63" s="231"/>
      <c r="AZ63" s="231"/>
      <c r="BA63" s="231"/>
      <c r="BB63" s="231"/>
      <c r="BC63" s="231"/>
      <c r="BD63" s="231"/>
      <c r="BE63" s="231"/>
      <c r="BF63" s="231"/>
      <c r="BG63" s="231"/>
      <c r="BH63" s="231"/>
    </row>
    <row r="64" spans="1:60" ht="15.6" outlineLevel="5">
      <c r="A64" s="218"/>
      <c r="B64" s="218"/>
      <c r="C64" s="218">
        <v>6</v>
      </c>
      <c r="D64" s="219" t="s">
        <v>1491</v>
      </c>
      <c r="E64" s="220"/>
      <c r="F64" s="220"/>
      <c r="G64" s="220"/>
      <c r="H64" s="220"/>
      <c r="I64" s="220"/>
      <c r="J64" s="220" t="s">
        <v>1412</v>
      </c>
      <c r="K64" s="220"/>
      <c r="L64" s="220"/>
      <c r="M64" s="220"/>
      <c r="N64" s="220"/>
      <c r="O64" s="220"/>
      <c r="P64" s="221">
        <v>43927</v>
      </c>
      <c r="Q64" s="221">
        <v>43930</v>
      </c>
      <c r="R64" s="222"/>
      <c r="S64" s="223">
        <v>4</v>
      </c>
      <c r="T64" s="223">
        <v>4</v>
      </c>
      <c r="U64" s="224">
        <v>4</v>
      </c>
      <c r="V64" s="224">
        <v>4</v>
      </c>
      <c r="W64" s="221"/>
      <c r="X64" s="221"/>
      <c r="Y64" s="225"/>
      <c r="Z64" s="226">
        <v>0</v>
      </c>
      <c r="AA64" s="227">
        <v>1</v>
      </c>
      <c r="AB64" s="222" t="s">
        <v>1406</v>
      </c>
      <c r="AC64" s="228"/>
      <c r="AD64" s="229">
        <v>1</v>
      </c>
      <c r="AE64" s="229">
        <v>1</v>
      </c>
      <c r="AF64" s="311"/>
      <c r="AG64" s="231"/>
      <c r="AH64" s="231"/>
      <c r="AI64" s="231"/>
      <c r="AJ64" s="231"/>
      <c r="AK64" s="231"/>
      <c r="AL64" s="231"/>
      <c r="AM64" s="231"/>
      <c r="AN64" s="231"/>
      <c r="AO64" s="231"/>
      <c r="AP64" s="231"/>
      <c r="AQ64" s="231"/>
      <c r="AR64" s="231"/>
      <c r="AS64" s="231" t="str">
        <f>"     " &amp; TEXT(AE64,"#0.00%") &amp; " " &amp; "모델 생성" &amp; "(한혜은)" &amp; " " &amp; IF(P64="","",TEXT(P64,"M/D-")) &amp; IF(Q64="","",TEXT(Q64,"M/D")) &amp; " "</f>
        <v xml:space="preserve">     100.00% 모델 생성(한혜은) 4/6-4/9 </v>
      </c>
      <c r="AT64" s="231"/>
      <c r="AU64" s="231"/>
      <c r="AV64" s="231"/>
      <c r="AW64" s="231"/>
      <c r="AX64" s="231"/>
      <c r="AY64" s="231"/>
      <c r="AZ64" s="231"/>
      <c r="BA64" s="231"/>
      <c r="BB64" s="231"/>
      <c r="BC64" s="231"/>
      <c r="BD64" s="231"/>
      <c r="BE64" s="231"/>
      <c r="BF64" s="231"/>
      <c r="BG64" s="231"/>
      <c r="BH64" s="231"/>
    </row>
    <row r="65" spans="1:60" ht="15.6" outlineLevel="5">
      <c r="A65" s="218"/>
      <c r="B65" s="218"/>
      <c r="C65" s="218">
        <v>6</v>
      </c>
      <c r="D65" s="219" t="s">
        <v>1492</v>
      </c>
      <c r="E65" s="220"/>
      <c r="F65" s="220"/>
      <c r="G65" s="220"/>
      <c r="H65" s="220"/>
      <c r="I65" s="220"/>
      <c r="J65" s="220" t="s">
        <v>1413</v>
      </c>
      <c r="K65" s="220"/>
      <c r="L65" s="220"/>
      <c r="M65" s="220"/>
      <c r="N65" s="220"/>
      <c r="O65" s="220"/>
      <c r="P65" s="221">
        <v>43930</v>
      </c>
      <c r="Q65" s="221">
        <v>43934</v>
      </c>
      <c r="R65" s="222"/>
      <c r="S65" s="223">
        <v>3</v>
      </c>
      <c r="T65" s="223">
        <v>3</v>
      </c>
      <c r="U65" s="224">
        <v>3</v>
      </c>
      <c r="V65" s="224">
        <v>3</v>
      </c>
      <c r="W65" s="221"/>
      <c r="X65" s="221"/>
      <c r="Y65" s="225"/>
      <c r="Z65" s="226">
        <v>0</v>
      </c>
      <c r="AA65" s="227">
        <v>1</v>
      </c>
      <c r="AB65" s="222" t="s">
        <v>1406</v>
      </c>
      <c r="AC65" s="228"/>
      <c r="AD65" s="229">
        <v>1</v>
      </c>
      <c r="AE65" s="229">
        <v>1</v>
      </c>
      <c r="AF65" s="311"/>
      <c r="AG65" s="231"/>
      <c r="AH65" s="231"/>
      <c r="AI65" s="231"/>
      <c r="AJ65" s="231"/>
      <c r="AK65" s="231"/>
      <c r="AL65" s="231"/>
      <c r="AM65" s="231"/>
      <c r="AN65" s="231"/>
      <c r="AO65" s="231"/>
      <c r="AP65" s="231"/>
      <c r="AQ65" s="231"/>
      <c r="AR65" s="231"/>
      <c r="AS65" s="231"/>
      <c r="AT65" s="231" t="str">
        <f>"  " &amp; TEXT(AE65,"#0.00%") &amp; " " &amp; "관계정의" &amp; "(한혜은)" &amp; " " &amp; IF(P65="","",TEXT(P65,"M/D-")) &amp; IF(Q65="","",TEXT(Q65,"M/D")) &amp; " "</f>
        <v xml:space="preserve">  100.00% 관계정의(한혜은) 4/9-4/13 </v>
      </c>
      <c r="AU65" s="231"/>
      <c r="AV65" s="231"/>
      <c r="AW65" s="231"/>
      <c r="AX65" s="231"/>
      <c r="AY65" s="231"/>
      <c r="AZ65" s="231"/>
      <c r="BA65" s="231"/>
      <c r="BB65" s="231"/>
      <c r="BC65" s="231"/>
      <c r="BD65" s="231"/>
      <c r="BE65" s="231"/>
      <c r="BF65" s="231"/>
      <c r="BG65" s="231"/>
      <c r="BH65" s="231"/>
    </row>
    <row r="66" spans="1:60" ht="15.6" outlineLevel="4">
      <c r="A66" s="264"/>
      <c r="B66" s="264" t="s">
        <v>1283</v>
      </c>
      <c r="C66" s="264">
        <v>5</v>
      </c>
      <c r="D66" s="254" t="s">
        <v>1456</v>
      </c>
      <c r="E66" s="265"/>
      <c r="F66" s="265"/>
      <c r="G66" s="265"/>
      <c r="H66" s="265"/>
      <c r="I66" s="265" t="s">
        <v>1414</v>
      </c>
      <c r="J66" s="265"/>
      <c r="K66" s="265"/>
      <c r="L66" s="265"/>
      <c r="M66" s="265"/>
      <c r="N66" s="265"/>
      <c r="O66" s="265"/>
      <c r="P66" s="221">
        <v>43931</v>
      </c>
      <c r="Q66" s="266">
        <v>43955</v>
      </c>
      <c r="R66" s="267"/>
      <c r="S66" s="268">
        <v>7</v>
      </c>
      <c r="T66" s="268">
        <v>2</v>
      </c>
      <c r="U66" s="269">
        <v>15</v>
      </c>
      <c r="V66" s="269">
        <v>5</v>
      </c>
      <c r="W66" s="266"/>
      <c r="X66" s="266"/>
      <c r="Y66" s="270">
        <v>0</v>
      </c>
      <c r="Z66" s="271">
        <v>0</v>
      </c>
      <c r="AA66" s="272"/>
      <c r="AB66" s="267"/>
      <c r="AC66" s="273"/>
      <c r="AD66" s="229">
        <v>0.2857142857142857</v>
      </c>
      <c r="AE66" s="229">
        <v>0.2857142857142857</v>
      </c>
      <c r="AF66" s="311"/>
      <c r="AG66" s="231"/>
      <c r="AH66" s="231"/>
      <c r="AI66" s="231"/>
      <c r="AJ66" s="231"/>
      <c r="AK66" s="231"/>
      <c r="AL66" s="231"/>
      <c r="AM66" s="231"/>
      <c r="AN66" s="231"/>
      <c r="AO66" s="231"/>
      <c r="AP66" s="231"/>
      <c r="AQ66" s="231"/>
      <c r="AR66" s="231"/>
      <c r="AS66" s="231"/>
      <c r="AT66" s="231" t="str">
        <f>"     " &amp; TEXT(AE66,"#0.00%") &amp; " " &amp; "저장소 생성" &amp; " " &amp; IF(P66="","",TEXT(P66,"M/D-")) &amp; IF(Q66="","",TEXT(Q66,"M/D")) &amp; " "</f>
        <v xml:space="preserve">     28.57% 저장소 생성 4/10-5/4 </v>
      </c>
      <c r="AU66" s="231"/>
      <c r="AV66" s="231"/>
      <c r="AW66" s="231"/>
      <c r="AX66" s="231"/>
      <c r="AY66" s="231"/>
      <c r="AZ66" s="231"/>
      <c r="BA66" s="231"/>
      <c r="BB66" s="231"/>
      <c r="BC66" s="231"/>
      <c r="BD66" s="231"/>
      <c r="BE66" s="231"/>
      <c r="BF66" s="231"/>
      <c r="BG66" s="231"/>
      <c r="BH66" s="231"/>
    </row>
    <row r="67" spans="1:60" ht="15.6" outlineLevel="5">
      <c r="A67" s="218"/>
      <c r="B67" s="218"/>
      <c r="C67" s="218">
        <v>6</v>
      </c>
      <c r="D67" s="219" t="s">
        <v>1461</v>
      </c>
      <c r="E67" s="220"/>
      <c r="F67" s="220"/>
      <c r="G67" s="220"/>
      <c r="H67" s="220"/>
      <c r="I67" s="220"/>
      <c r="J67" s="220" t="s">
        <v>1415</v>
      </c>
      <c r="K67" s="220"/>
      <c r="L67" s="220"/>
      <c r="M67" s="220"/>
      <c r="N67" s="220"/>
      <c r="O67" s="220"/>
      <c r="P67" s="221">
        <v>43931</v>
      </c>
      <c r="Q67" s="221">
        <v>43934</v>
      </c>
      <c r="R67" s="222"/>
      <c r="S67" s="223">
        <v>2</v>
      </c>
      <c r="T67" s="223">
        <v>2</v>
      </c>
      <c r="U67" s="224">
        <v>2</v>
      </c>
      <c r="V67" s="224">
        <v>2</v>
      </c>
      <c r="W67" s="221"/>
      <c r="X67" s="221"/>
      <c r="Y67" s="225"/>
      <c r="Z67" s="226">
        <v>0</v>
      </c>
      <c r="AA67" s="227">
        <v>1</v>
      </c>
      <c r="AB67" s="222" t="s">
        <v>1405</v>
      </c>
      <c r="AC67" s="228"/>
      <c r="AD67" s="229">
        <v>1</v>
      </c>
      <c r="AE67" s="229">
        <v>1</v>
      </c>
      <c r="AF67" s="311"/>
      <c r="AG67" s="231"/>
      <c r="AH67" s="231"/>
      <c r="AI67" s="231"/>
      <c r="AJ67" s="231"/>
      <c r="AK67" s="231"/>
      <c r="AL67" s="231"/>
      <c r="AM67" s="231"/>
      <c r="AN67" s="231"/>
      <c r="AO67" s="231"/>
      <c r="AP67" s="231"/>
      <c r="AQ67" s="231"/>
      <c r="AR67" s="231"/>
      <c r="AS67" s="231"/>
      <c r="AT67" s="231" t="str">
        <f>"  " &amp; TEXT(AE67,"#0.00%") &amp; " " &amp; "S3 버킷 생성" &amp; "(김주은)" &amp; " " &amp; IF(P67="","",TEXT(P67,"M/D-")) &amp; IF(Q67="","",TEXT(Q67,"M/D")) &amp; " "</f>
        <v xml:space="preserve">  100.00% S3 버킷 생성(김주은) 4/10-4/13 </v>
      </c>
      <c r="AU67" s="231"/>
      <c r="AV67" s="231"/>
      <c r="AW67" s="231"/>
      <c r="AX67" s="231"/>
      <c r="AY67" s="231"/>
      <c r="AZ67" s="231"/>
      <c r="BA67" s="231"/>
      <c r="BB67" s="231"/>
      <c r="BC67" s="231"/>
      <c r="BD67" s="231"/>
      <c r="BE67" s="231"/>
      <c r="BF67" s="231"/>
      <c r="BG67" s="231"/>
      <c r="BH67" s="231"/>
    </row>
    <row r="68" spans="1:60" ht="15.6" outlineLevel="5">
      <c r="A68" s="218"/>
      <c r="B68" s="218"/>
      <c r="C68" s="218">
        <v>6</v>
      </c>
      <c r="D68" s="219" t="s">
        <v>1472</v>
      </c>
      <c r="E68" s="220"/>
      <c r="F68" s="220"/>
      <c r="G68" s="220"/>
      <c r="H68" s="220"/>
      <c r="I68" s="220"/>
      <c r="J68" s="220" t="s">
        <v>1416</v>
      </c>
      <c r="K68" s="220"/>
      <c r="L68" s="220"/>
      <c r="M68" s="220"/>
      <c r="N68" s="220"/>
      <c r="O68" s="220"/>
      <c r="P68" s="221">
        <v>43948</v>
      </c>
      <c r="Q68" s="221">
        <v>43948</v>
      </c>
      <c r="R68" s="222"/>
      <c r="S68" s="223">
        <v>1</v>
      </c>
      <c r="T68" s="223">
        <v>0</v>
      </c>
      <c r="U68" s="224">
        <v>1</v>
      </c>
      <c r="V68" s="224">
        <v>0</v>
      </c>
      <c r="W68" s="221"/>
      <c r="X68" s="221"/>
      <c r="Y68" s="225"/>
      <c r="Z68" s="226">
        <v>0</v>
      </c>
      <c r="AA68" s="227">
        <v>1</v>
      </c>
      <c r="AB68" s="222" t="s">
        <v>1405</v>
      </c>
      <c r="AC68" s="228"/>
      <c r="AD68" s="229">
        <v>0</v>
      </c>
      <c r="AE68" s="229">
        <v>0</v>
      </c>
      <c r="AF68" s="311"/>
      <c r="AG68" s="231"/>
      <c r="AH68" s="231"/>
      <c r="AI68" s="231"/>
      <c r="AJ68" s="231"/>
      <c r="AK68" s="231"/>
      <c r="AL68" s="231"/>
      <c r="AM68" s="231"/>
      <c r="AN68" s="231"/>
      <c r="AO68" s="231"/>
      <c r="AP68" s="231"/>
      <c r="AQ68" s="231"/>
      <c r="AR68" s="231"/>
      <c r="AS68" s="231"/>
      <c r="AT68" s="231"/>
      <c r="AU68" s="231"/>
      <c r="AV68" s="231" t="str">
        <f>" " &amp; TEXT(AE68,"#0.00%") &amp; " " &amp; "CloudFront 생성" &amp; "(김주은)" &amp; " " &amp; IF(P68="","",TEXT(P68,"M/D-")) &amp; IF(Q68="","",TEXT(Q68,"M/D")) &amp; " "</f>
        <v xml:space="preserve"> 0.00% CloudFront 생성(김주은) 4/27-4/27 </v>
      </c>
      <c r="AW68" s="231"/>
      <c r="AX68" s="231"/>
      <c r="AY68" s="231"/>
      <c r="AZ68" s="231"/>
      <c r="BA68" s="231"/>
      <c r="BB68" s="231"/>
      <c r="BC68" s="231"/>
      <c r="BD68" s="231"/>
      <c r="BE68" s="231"/>
      <c r="BF68" s="231"/>
      <c r="BG68" s="231"/>
      <c r="BH68" s="231"/>
    </row>
    <row r="69" spans="1:60" ht="15.6" outlineLevel="5">
      <c r="A69" s="218"/>
      <c r="B69" s="218"/>
      <c r="C69" s="218">
        <v>6</v>
      </c>
      <c r="D69" s="219" t="s">
        <v>1475</v>
      </c>
      <c r="E69" s="220"/>
      <c r="F69" s="220"/>
      <c r="G69" s="220"/>
      <c r="H69" s="220"/>
      <c r="I69" s="220"/>
      <c r="J69" s="220" t="s">
        <v>1417</v>
      </c>
      <c r="K69" s="220"/>
      <c r="L69" s="220"/>
      <c r="M69" s="220"/>
      <c r="N69" s="220"/>
      <c r="O69" s="220"/>
      <c r="P69" s="221">
        <v>43949</v>
      </c>
      <c r="Q69" s="266">
        <v>43955</v>
      </c>
      <c r="R69" s="222"/>
      <c r="S69" s="223">
        <v>4</v>
      </c>
      <c r="T69" s="223">
        <v>0</v>
      </c>
      <c r="U69" s="224">
        <v>4</v>
      </c>
      <c r="V69" s="224">
        <v>0</v>
      </c>
      <c r="W69" s="221"/>
      <c r="X69" s="221"/>
      <c r="Y69" s="225"/>
      <c r="Z69" s="226">
        <v>0</v>
      </c>
      <c r="AA69" s="227">
        <v>1</v>
      </c>
      <c r="AB69" s="222" t="s">
        <v>1405</v>
      </c>
      <c r="AC69" s="228"/>
      <c r="AD69" s="229">
        <v>0</v>
      </c>
      <c r="AE69" s="229">
        <v>0</v>
      </c>
      <c r="AF69" s="311"/>
      <c r="AG69" s="231"/>
      <c r="AH69" s="231"/>
      <c r="AI69" s="231"/>
      <c r="AJ69" s="231"/>
      <c r="AK69" s="231"/>
      <c r="AL69" s="231"/>
      <c r="AM69" s="231"/>
      <c r="AN69" s="231"/>
      <c r="AO69" s="231"/>
      <c r="AP69" s="231"/>
      <c r="AQ69" s="231"/>
      <c r="AR69" s="231"/>
      <c r="AS69" s="231"/>
      <c r="AT69" s="231"/>
      <c r="AU69" s="231"/>
      <c r="AV69" s="231" t="str">
        <f>"  " &amp; TEXT(AE69,"#0.00%") &amp; " " &amp; "파일 업로드 및 다운로드" &amp; "(김주은)" &amp; " " &amp; IF(P69="","",TEXT(P69,"M/D-")) &amp; IF(Q69="","",TEXT(Q69,"M/D")) &amp; " "</f>
        <v xml:space="preserve">  0.00% 파일 업로드 및 다운로드(김주은) 4/28-5/4 </v>
      </c>
      <c r="AW69" s="231"/>
      <c r="AX69" s="231"/>
      <c r="AY69" s="231"/>
      <c r="AZ69" s="231"/>
      <c r="BA69" s="231"/>
      <c r="BB69" s="231"/>
      <c r="BC69" s="231"/>
      <c r="BD69" s="231"/>
      <c r="BE69" s="231"/>
      <c r="BF69" s="231"/>
      <c r="BG69" s="231"/>
      <c r="BH69" s="231"/>
    </row>
    <row r="70" spans="1:60" ht="15.6" outlineLevel="4">
      <c r="A70" s="218"/>
      <c r="B70" s="218" t="s">
        <v>1283</v>
      </c>
      <c r="C70" s="218">
        <v>5</v>
      </c>
      <c r="D70" s="219" t="s">
        <v>1457</v>
      </c>
      <c r="E70" s="220"/>
      <c r="F70" s="220"/>
      <c r="G70" s="220"/>
      <c r="H70" s="220"/>
      <c r="I70" s="220" t="s">
        <v>1418</v>
      </c>
      <c r="J70" s="220"/>
      <c r="K70" s="220"/>
      <c r="L70" s="220"/>
      <c r="M70" s="220"/>
      <c r="N70" s="220"/>
      <c r="O70" s="220"/>
      <c r="P70" s="221">
        <v>43934</v>
      </c>
      <c r="Q70" s="221">
        <v>43941</v>
      </c>
      <c r="R70" s="222"/>
      <c r="S70" s="223">
        <v>5</v>
      </c>
      <c r="T70" s="223">
        <v>4</v>
      </c>
      <c r="U70" s="224">
        <v>5</v>
      </c>
      <c r="V70" s="224">
        <v>4</v>
      </c>
      <c r="W70" s="221"/>
      <c r="X70" s="221"/>
      <c r="Y70" s="225">
        <v>0</v>
      </c>
      <c r="Z70" s="226">
        <v>0</v>
      </c>
      <c r="AA70" s="227"/>
      <c r="AB70" s="222"/>
      <c r="AC70" s="228"/>
      <c r="AD70" s="229">
        <v>0.8</v>
      </c>
      <c r="AE70" s="229">
        <v>1</v>
      </c>
      <c r="AF70" s="311"/>
      <c r="AG70" s="231"/>
      <c r="AH70" s="231"/>
      <c r="AI70" s="231"/>
      <c r="AJ70" s="231"/>
      <c r="AK70" s="231"/>
      <c r="AL70" s="231"/>
      <c r="AM70" s="231"/>
      <c r="AN70" s="231"/>
      <c r="AO70" s="231"/>
      <c r="AP70" s="231"/>
      <c r="AQ70" s="231"/>
      <c r="AR70" s="231"/>
      <c r="AS70" s="231"/>
      <c r="AT70" s="231"/>
      <c r="AU70" s="231" t="str">
        <f>"  " &amp; TEXT(AE70,"#0.00%") &amp; " " &amp; "로그인 구현" &amp; " " &amp; IF(P70="","",TEXT(P70,"M/D-")) &amp; IF(Q70="","",TEXT(Q70,"M/D")) &amp; " "</f>
        <v xml:space="preserve">  100.00% 로그인 구현 4/13-4/20 </v>
      </c>
      <c r="AV70" s="231"/>
      <c r="AW70" s="231"/>
      <c r="AX70" s="231"/>
      <c r="AY70" s="231"/>
      <c r="AZ70" s="231"/>
      <c r="BA70" s="231"/>
      <c r="BB70" s="231"/>
      <c r="BC70" s="231"/>
      <c r="BD70" s="231"/>
      <c r="BE70" s="231"/>
      <c r="BF70" s="231"/>
      <c r="BG70" s="231"/>
      <c r="BH70" s="231"/>
    </row>
    <row r="71" spans="1:60" ht="15.6" outlineLevel="5">
      <c r="A71" s="218"/>
      <c r="B71" s="218"/>
      <c r="C71" s="218">
        <v>6</v>
      </c>
      <c r="D71" s="219" t="s">
        <v>1493</v>
      </c>
      <c r="E71" s="220"/>
      <c r="F71" s="220"/>
      <c r="G71" s="220"/>
      <c r="H71" s="220"/>
      <c r="I71" s="220"/>
      <c r="J71" s="220" t="s">
        <v>1419</v>
      </c>
      <c r="K71" s="220"/>
      <c r="L71" s="220"/>
      <c r="M71" s="220"/>
      <c r="N71" s="220"/>
      <c r="O71" s="220"/>
      <c r="P71" s="221">
        <v>43934</v>
      </c>
      <c r="Q71" s="221">
        <v>43941</v>
      </c>
      <c r="R71" s="222"/>
      <c r="S71" s="223">
        <v>5</v>
      </c>
      <c r="T71" s="223">
        <v>4</v>
      </c>
      <c r="U71" s="224">
        <v>5</v>
      </c>
      <c r="V71" s="224">
        <v>4</v>
      </c>
      <c r="W71" s="221"/>
      <c r="X71" s="221"/>
      <c r="Y71" s="225"/>
      <c r="Z71" s="226">
        <v>0</v>
      </c>
      <c r="AA71" s="227">
        <v>1</v>
      </c>
      <c r="AB71" s="222" t="s">
        <v>1406</v>
      </c>
      <c r="AC71" s="228"/>
      <c r="AD71" s="229">
        <v>0.8</v>
      </c>
      <c r="AE71" s="229">
        <v>1</v>
      </c>
      <c r="AF71" s="311"/>
      <c r="AG71" s="231"/>
      <c r="AH71" s="231"/>
      <c r="AI71" s="231"/>
      <c r="AJ71" s="231"/>
      <c r="AK71" s="231"/>
      <c r="AL71" s="231"/>
      <c r="AM71" s="231"/>
      <c r="AN71" s="231"/>
      <c r="AO71" s="231"/>
      <c r="AP71" s="231"/>
      <c r="AQ71" s="231"/>
      <c r="AR71" s="231"/>
      <c r="AS71" s="231"/>
      <c r="AT71" s="231"/>
      <c r="AU71" s="231" t="str">
        <f>"  " &amp; TEXT(AE71,"#0.00%") &amp; " " &amp; "회원가입 및 로그인" &amp; "(한혜은)" &amp; " " &amp; IF(P71="","",TEXT(P71,"M/D-")) &amp; IF(Q71="","",TEXT(Q71,"M/D")) &amp; " "</f>
        <v xml:space="preserve">  100.00% 회원가입 및 로그인(한혜은) 4/13-4/20 </v>
      </c>
      <c r="AV71" s="231"/>
      <c r="AW71" s="231"/>
      <c r="AX71" s="231"/>
      <c r="AY71" s="231"/>
      <c r="AZ71" s="231"/>
      <c r="BA71" s="231"/>
      <c r="BB71" s="231"/>
      <c r="BC71" s="231"/>
      <c r="BD71" s="231"/>
      <c r="BE71" s="231"/>
      <c r="BF71" s="231"/>
      <c r="BG71" s="231"/>
      <c r="BH71" s="231"/>
    </row>
    <row r="72" spans="1:60" ht="15.6" outlineLevel="4">
      <c r="A72" s="218"/>
      <c r="B72" s="218" t="s">
        <v>1283</v>
      </c>
      <c r="C72" s="218">
        <v>5</v>
      </c>
      <c r="D72" s="219" t="s">
        <v>1458</v>
      </c>
      <c r="E72" s="220"/>
      <c r="F72" s="220"/>
      <c r="G72" s="220"/>
      <c r="H72" s="220"/>
      <c r="I72" s="220" t="s">
        <v>1496</v>
      </c>
      <c r="J72" s="220"/>
      <c r="K72" s="220"/>
      <c r="L72" s="220"/>
      <c r="M72" s="220"/>
      <c r="N72" s="220"/>
      <c r="O72" s="220"/>
      <c r="P72" s="221">
        <v>43920</v>
      </c>
      <c r="Q72" s="221">
        <v>43941</v>
      </c>
      <c r="R72" s="222"/>
      <c r="S72" s="223">
        <v>17</v>
      </c>
      <c r="T72" s="223">
        <v>16</v>
      </c>
      <c r="U72" s="224">
        <v>15</v>
      </c>
      <c r="V72" s="224">
        <v>14</v>
      </c>
      <c r="W72" s="221"/>
      <c r="X72" s="221"/>
      <c r="Y72" s="225">
        <v>0</v>
      </c>
      <c r="Z72" s="226">
        <v>0</v>
      </c>
      <c r="AA72" s="227"/>
      <c r="AB72" s="222"/>
      <c r="AC72" s="228"/>
      <c r="AD72" s="229">
        <v>0.94117647058823528</v>
      </c>
      <c r="AE72" s="229">
        <v>1</v>
      </c>
      <c r="AF72" s="311"/>
      <c r="AG72" s="231"/>
      <c r="AH72" s="231"/>
      <c r="AI72" s="231"/>
      <c r="AJ72" s="231"/>
      <c r="AK72" s="231"/>
      <c r="AL72" s="231"/>
      <c r="AM72" s="231"/>
      <c r="AN72" s="231"/>
      <c r="AO72" s="231"/>
      <c r="AP72" s="231"/>
      <c r="AQ72" s="231"/>
      <c r="AR72" s="231"/>
      <c r="AS72" s="231"/>
      <c r="AT72" s="231"/>
      <c r="AU72" s="231" t="str">
        <f>"  " &amp; TEXT(AE72,"#0.00%") &amp; " " &amp; "크롤링" &amp; " " &amp; IF(P72="","",TEXT(P72,"M/D-")) &amp; IF(Q72="","",TEXT(Q72,"M/D")) &amp; " "</f>
        <v xml:space="preserve">  100.00% 크롤링 3/30-4/20 </v>
      </c>
      <c r="AV72" s="231"/>
      <c r="AW72" s="231"/>
      <c r="AX72" s="231"/>
      <c r="AY72" s="231"/>
      <c r="AZ72" s="231"/>
      <c r="BA72" s="231"/>
      <c r="BB72" s="231"/>
      <c r="BC72" s="231"/>
      <c r="BD72" s="231"/>
      <c r="BE72" s="231"/>
      <c r="BF72" s="231"/>
      <c r="BG72" s="231"/>
      <c r="BH72" s="231"/>
    </row>
    <row r="73" spans="1:60" ht="15.6" outlineLevel="5">
      <c r="A73" s="218"/>
      <c r="B73" s="218"/>
      <c r="C73" s="218">
        <v>6</v>
      </c>
      <c r="D73" s="219" t="s">
        <v>1497</v>
      </c>
      <c r="E73" s="220"/>
      <c r="F73" s="220"/>
      <c r="G73" s="220"/>
      <c r="H73" s="220"/>
      <c r="I73" s="220"/>
      <c r="J73" s="220" t="s">
        <v>1501</v>
      </c>
      <c r="K73" s="220"/>
      <c r="L73" s="220"/>
      <c r="M73" s="220"/>
      <c r="N73" s="220"/>
      <c r="O73" s="220"/>
      <c r="P73" s="221">
        <v>43920</v>
      </c>
      <c r="Q73" s="221">
        <v>43927</v>
      </c>
      <c r="R73" s="222"/>
      <c r="S73" s="223">
        <v>6</v>
      </c>
      <c r="T73" s="223">
        <v>6</v>
      </c>
      <c r="U73" s="224">
        <v>6</v>
      </c>
      <c r="V73" s="224">
        <v>6</v>
      </c>
      <c r="W73" s="221"/>
      <c r="X73" s="221"/>
      <c r="Y73" s="225"/>
      <c r="Z73" s="226">
        <v>0</v>
      </c>
      <c r="AA73" s="227">
        <v>1</v>
      </c>
      <c r="AB73" s="222" t="s">
        <v>1405</v>
      </c>
      <c r="AC73" s="228"/>
      <c r="AD73" s="229">
        <v>1</v>
      </c>
      <c r="AE73" s="229">
        <v>1</v>
      </c>
      <c r="AF73" s="311"/>
      <c r="AG73" s="231"/>
      <c r="AH73" s="231"/>
      <c r="AI73" s="231"/>
      <c r="AJ73" s="231"/>
      <c r="AK73" s="231"/>
      <c r="AL73" s="231"/>
      <c r="AM73" s="231"/>
      <c r="AN73" s="231"/>
      <c r="AO73" s="231"/>
      <c r="AP73" s="231"/>
      <c r="AQ73" s="231"/>
      <c r="AR73" s="231"/>
      <c r="AS73" s="231" t="str">
        <f>"  " &amp; TEXT(AE73,"#0.00%") &amp; " " &amp; "낚시터 정보 크롤링" &amp; "(김주은)" &amp; " " &amp; IF(P73="","",TEXT(P73,"M/D-")) &amp; IF(Q73="","",TEXT(Q73,"M/D")) &amp; " "</f>
        <v xml:space="preserve">  100.00% 낚시터 정보 크롤링(김주은) 3/30-4/6 </v>
      </c>
      <c r="AT73" s="231"/>
      <c r="AU73" s="231"/>
      <c r="AV73" s="231"/>
      <c r="AW73" s="231"/>
      <c r="AX73" s="231"/>
      <c r="AY73" s="231"/>
      <c r="AZ73" s="231"/>
      <c r="BA73" s="231"/>
      <c r="BB73" s="231"/>
      <c r="BC73" s="231"/>
      <c r="BD73" s="231"/>
      <c r="BE73" s="231"/>
      <c r="BF73" s="231"/>
      <c r="BG73" s="231"/>
      <c r="BH73" s="231"/>
    </row>
    <row r="74" spans="1:60" ht="15.6" outlineLevel="5">
      <c r="A74" s="218"/>
      <c r="B74" s="218"/>
      <c r="C74" s="218">
        <v>6</v>
      </c>
      <c r="D74" s="219" t="s">
        <v>1498</v>
      </c>
      <c r="E74" s="220"/>
      <c r="F74" s="220"/>
      <c r="G74" s="220"/>
      <c r="H74" s="220"/>
      <c r="I74" s="220"/>
      <c r="J74" s="220" t="s">
        <v>1502</v>
      </c>
      <c r="K74" s="220"/>
      <c r="L74" s="220"/>
      <c r="M74" s="220"/>
      <c r="N74" s="220"/>
      <c r="O74" s="220"/>
      <c r="P74" s="221">
        <v>43927</v>
      </c>
      <c r="Q74" s="221">
        <v>43934</v>
      </c>
      <c r="R74" s="222"/>
      <c r="S74" s="223">
        <v>6</v>
      </c>
      <c r="T74" s="223">
        <v>6</v>
      </c>
      <c r="U74" s="224">
        <v>6</v>
      </c>
      <c r="V74" s="224">
        <v>6</v>
      </c>
      <c r="W74" s="221"/>
      <c r="X74" s="221"/>
      <c r="Y74" s="225"/>
      <c r="Z74" s="226">
        <v>0</v>
      </c>
      <c r="AA74" s="227">
        <v>1</v>
      </c>
      <c r="AB74" s="222" t="s">
        <v>1405</v>
      </c>
      <c r="AC74" s="228"/>
      <c r="AD74" s="229">
        <v>1</v>
      </c>
      <c r="AE74" s="229">
        <v>1</v>
      </c>
      <c r="AF74" s="311"/>
      <c r="AG74" s="231"/>
      <c r="AH74" s="231"/>
      <c r="AI74" s="231"/>
      <c r="AJ74" s="231"/>
      <c r="AK74" s="231"/>
      <c r="AL74" s="231"/>
      <c r="AM74" s="231"/>
      <c r="AN74" s="231"/>
      <c r="AO74" s="231"/>
      <c r="AP74" s="231"/>
      <c r="AQ74" s="231"/>
      <c r="AR74" s="231"/>
      <c r="AS74" s="231"/>
      <c r="AT74" s="231" t="str">
        <f>"  " &amp; TEXT(AE74,"#0.00%") &amp; " " &amp; "날씨정보 크롤링" &amp; "(김주은)" &amp; " " &amp; IF(P74="","",TEXT(P74,"M/D-")) &amp; IF(Q74="","",TEXT(Q74,"M/D")) &amp; " "</f>
        <v xml:space="preserve">  100.00% 날씨정보 크롤링(김주은) 4/6-4/13 </v>
      </c>
      <c r="AU74" s="231"/>
      <c r="AV74" s="231"/>
      <c r="AW74" s="231"/>
      <c r="AX74" s="231"/>
      <c r="AY74" s="231"/>
      <c r="AZ74" s="231"/>
      <c r="BA74" s="231"/>
      <c r="BB74" s="231"/>
      <c r="BC74" s="231"/>
      <c r="BD74" s="231"/>
      <c r="BE74" s="231"/>
      <c r="BF74" s="231"/>
      <c r="BG74" s="231"/>
      <c r="BH74" s="231"/>
    </row>
    <row r="75" spans="1:60" ht="15.6" outlineLevel="5">
      <c r="A75" s="218"/>
      <c r="B75" s="218"/>
      <c r="C75" s="218">
        <v>6</v>
      </c>
      <c r="D75" s="219" t="s">
        <v>1499</v>
      </c>
      <c r="E75" s="220"/>
      <c r="F75" s="220"/>
      <c r="G75" s="220"/>
      <c r="H75" s="220"/>
      <c r="I75" s="220"/>
      <c r="J75" s="220" t="s">
        <v>1503</v>
      </c>
      <c r="K75" s="220"/>
      <c r="L75" s="220"/>
      <c r="M75" s="220"/>
      <c r="N75" s="220"/>
      <c r="O75" s="220"/>
      <c r="P75" s="221">
        <v>43934</v>
      </c>
      <c r="Q75" s="221">
        <v>43936</v>
      </c>
      <c r="R75" s="222"/>
      <c r="S75" s="223">
        <v>2</v>
      </c>
      <c r="T75" s="223">
        <v>2</v>
      </c>
      <c r="U75" s="224">
        <v>2</v>
      </c>
      <c r="V75" s="224">
        <v>2</v>
      </c>
      <c r="W75" s="221"/>
      <c r="X75" s="221"/>
      <c r="Y75" s="225"/>
      <c r="Z75" s="226">
        <v>0</v>
      </c>
      <c r="AA75" s="227">
        <v>1</v>
      </c>
      <c r="AB75" s="222" t="s">
        <v>1405</v>
      </c>
      <c r="AC75" s="228"/>
      <c r="AD75" s="229">
        <v>1</v>
      </c>
      <c r="AE75" s="229">
        <v>1</v>
      </c>
      <c r="AF75" s="311"/>
      <c r="AG75" s="231"/>
      <c r="AH75" s="231"/>
      <c r="AI75" s="231"/>
      <c r="AJ75" s="231"/>
      <c r="AK75" s="231"/>
      <c r="AL75" s="231"/>
      <c r="AM75" s="231"/>
      <c r="AN75" s="231"/>
      <c r="AO75" s="231"/>
      <c r="AP75" s="231"/>
      <c r="AQ75" s="231"/>
      <c r="AR75" s="231"/>
      <c r="AS75" s="231"/>
      <c r="AT75" s="231" t="str">
        <f>"    " &amp; TEXT(AE75,"#0.00%") &amp; " " &amp; "물때 정보 크롤링" &amp; "(김주은)" &amp; " " &amp; IF(P75="","",TEXT(P75,"M/D-")) &amp; IF(Q75="","",TEXT(Q75,"M/D")) &amp; " "</f>
        <v xml:space="preserve">    100.00% 물때 정보 크롤링(김주은) 4/13-4/15 </v>
      </c>
      <c r="AU75" s="231"/>
      <c r="AV75" s="231"/>
      <c r="AW75" s="231"/>
      <c r="AX75" s="231"/>
      <c r="AY75" s="231"/>
      <c r="AZ75" s="231"/>
      <c r="BA75" s="231"/>
      <c r="BB75" s="231"/>
      <c r="BC75" s="231"/>
      <c r="BD75" s="231"/>
      <c r="BE75" s="231"/>
      <c r="BF75" s="231"/>
      <c r="BG75" s="231"/>
      <c r="BH75" s="231"/>
    </row>
    <row r="76" spans="1:60" ht="15.6" outlineLevel="5">
      <c r="A76" s="218"/>
      <c r="B76" s="218"/>
      <c r="C76" s="218">
        <v>6</v>
      </c>
      <c r="D76" s="219" t="s">
        <v>1505</v>
      </c>
      <c r="E76" s="220"/>
      <c r="F76" s="220"/>
      <c r="G76" s="220"/>
      <c r="H76" s="220"/>
      <c r="I76" s="220"/>
      <c r="J76" s="220" t="s">
        <v>1504</v>
      </c>
      <c r="K76" s="220"/>
      <c r="L76" s="220"/>
      <c r="M76" s="220"/>
      <c r="N76" s="220"/>
      <c r="O76" s="220"/>
      <c r="P76" s="221">
        <v>43936</v>
      </c>
      <c r="Q76" s="221">
        <v>43941</v>
      </c>
      <c r="R76" s="222"/>
      <c r="S76" s="223">
        <v>3</v>
      </c>
      <c r="T76" s="223">
        <v>2</v>
      </c>
      <c r="U76" s="224">
        <v>3</v>
      </c>
      <c r="V76" s="224">
        <v>2</v>
      </c>
      <c r="W76" s="221"/>
      <c r="X76" s="221"/>
      <c r="Y76" s="225"/>
      <c r="Z76" s="226">
        <v>0</v>
      </c>
      <c r="AA76" s="227">
        <v>1</v>
      </c>
      <c r="AB76" s="222" t="s">
        <v>1405</v>
      </c>
      <c r="AC76" s="228"/>
      <c r="AD76" s="229">
        <v>0.66666666666666663</v>
      </c>
      <c r="AE76" s="229">
        <v>1</v>
      </c>
      <c r="AF76" s="311"/>
      <c r="AG76" s="231"/>
      <c r="AH76" s="231"/>
      <c r="AI76" s="231"/>
      <c r="AJ76" s="231"/>
      <c r="AK76" s="231"/>
      <c r="AL76" s="231"/>
      <c r="AM76" s="231"/>
      <c r="AN76" s="231"/>
      <c r="AO76" s="231"/>
      <c r="AP76" s="231"/>
      <c r="AQ76" s="231"/>
      <c r="AR76" s="231"/>
      <c r="AS76" s="231"/>
      <c r="AT76" s="231"/>
      <c r="AU76" s="231" t="str">
        <f>"  " &amp; TEXT(AE76,"#0.00%") &amp; " " &amp; "크롤링 자동화 설정" &amp; "(김주은)" &amp; " " &amp; IF(P76="","",TEXT(P76,"M/D-")) &amp; IF(Q76="","",TEXT(Q76,"M/D")) &amp; " "</f>
        <v xml:space="preserve">  100.00% 크롤링 자동화 설정(김주은) 4/15-4/20 </v>
      </c>
      <c r="AV76" s="231"/>
      <c r="AW76" s="231"/>
      <c r="AX76" s="231"/>
      <c r="AY76" s="231"/>
      <c r="AZ76" s="231"/>
      <c r="BA76" s="231"/>
      <c r="BB76" s="231"/>
      <c r="BC76" s="231"/>
      <c r="BD76" s="231"/>
      <c r="BE76" s="231"/>
      <c r="BF76" s="231"/>
      <c r="BG76" s="231"/>
      <c r="BH76" s="231"/>
    </row>
    <row r="77" spans="1:60" ht="15.6" outlineLevel="4">
      <c r="A77" s="218"/>
      <c r="B77" s="218" t="s">
        <v>1283</v>
      </c>
      <c r="C77" s="218">
        <v>5</v>
      </c>
      <c r="D77" s="219" t="s">
        <v>1513</v>
      </c>
      <c r="E77" s="220"/>
      <c r="F77" s="220"/>
      <c r="G77" s="220"/>
      <c r="H77" s="220"/>
      <c r="I77" s="220" t="s">
        <v>1420</v>
      </c>
      <c r="J77" s="220"/>
      <c r="K77" s="220"/>
      <c r="L77" s="220"/>
      <c r="M77" s="220"/>
      <c r="N77" s="220"/>
      <c r="O77" s="220"/>
      <c r="P77" s="221">
        <v>43934</v>
      </c>
      <c r="Q77" s="221">
        <v>43968</v>
      </c>
      <c r="R77" s="222"/>
      <c r="S77" s="223">
        <v>50</v>
      </c>
      <c r="T77" s="223">
        <v>4</v>
      </c>
      <c r="U77" s="224">
        <v>22</v>
      </c>
      <c r="V77" s="224">
        <v>4</v>
      </c>
      <c r="W77" s="221"/>
      <c r="X77" s="221"/>
      <c r="Y77" s="225">
        <v>0</v>
      </c>
      <c r="Z77" s="226">
        <v>0</v>
      </c>
      <c r="AA77" s="227"/>
      <c r="AB77" s="222"/>
      <c r="AC77" s="228"/>
      <c r="AD77" s="229">
        <v>0.08</v>
      </c>
      <c r="AE77" s="230">
        <v>0.16</v>
      </c>
      <c r="AF77" s="311"/>
      <c r="AG77" s="231"/>
      <c r="AH77" s="231"/>
      <c r="AI77" s="231"/>
      <c r="AJ77" s="231"/>
      <c r="AK77" s="231"/>
      <c r="AL77" s="231"/>
      <c r="AM77" s="231"/>
      <c r="AN77" s="231"/>
      <c r="AO77" s="231"/>
      <c r="AP77" s="231"/>
      <c r="AQ77" s="231"/>
      <c r="AR77" s="231"/>
      <c r="AS77" s="231"/>
      <c r="AT77" s="231"/>
      <c r="AU77" s="231" t="str">
        <f>"" &amp; TEXT(AE77,"#0.00%") &amp; " "</f>
        <v xml:space="preserve">16.00% </v>
      </c>
      <c r="AV77" s="231"/>
      <c r="AW77" s="231"/>
      <c r="AX77" s="231"/>
      <c r="AY77" s="231" t="str">
        <f>" " &amp; "라우팅, 컨트롤러" &amp; " " &amp; IF(P77="","",TEXT(P77,"M/D-")) &amp; IF(Q77="","",TEXT(Q77,"M/D")) &amp; " "</f>
        <v xml:space="preserve"> 라우팅, 컨트롤러 4/13-5/17 </v>
      </c>
      <c r="AZ77" s="231"/>
      <c r="BA77" s="231"/>
      <c r="BB77" s="231"/>
      <c r="BC77" s="231"/>
      <c r="BD77" s="231"/>
      <c r="BE77" s="231"/>
      <c r="BF77" s="231"/>
      <c r="BG77" s="231"/>
      <c r="BH77" s="231"/>
    </row>
    <row r="78" spans="1:60" ht="15.6" outlineLevel="5">
      <c r="A78" s="218"/>
      <c r="B78" s="218" t="s">
        <v>1283</v>
      </c>
      <c r="C78" s="218">
        <v>6</v>
      </c>
      <c r="D78" s="219" t="s">
        <v>1514</v>
      </c>
      <c r="E78" s="220"/>
      <c r="F78" s="220"/>
      <c r="G78" s="220"/>
      <c r="H78" s="220"/>
      <c r="I78" s="220"/>
      <c r="J78" s="220" t="s">
        <v>1381</v>
      </c>
      <c r="K78" s="220"/>
      <c r="L78" s="220"/>
      <c r="M78" s="220"/>
      <c r="N78" s="220"/>
      <c r="O78" s="220"/>
      <c r="P78" s="221">
        <v>43934</v>
      </c>
      <c r="Q78" s="221">
        <v>43940</v>
      </c>
      <c r="R78" s="222"/>
      <c r="S78" s="223">
        <v>4</v>
      </c>
      <c r="T78" s="223">
        <v>4</v>
      </c>
      <c r="U78" s="224">
        <v>4</v>
      </c>
      <c r="V78" s="224">
        <v>4</v>
      </c>
      <c r="W78" s="221"/>
      <c r="X78" s="221"/>
      <c r="Y78" s="225">
        <v>0</v>
      </c>
      <c r="Z78" s="226">
        <v>0</v>
      </c>
      <c r="AA78" s="227"/>
      <c r="AB78" s="222"/>
      <c r="AC78" s="228"/>
      <c r="AD78" s="229">
        <v>1</v>
      </c>
      <c r="AE78" s="229">
        <v>1</v>
      </c>
      <c r="AF78" s="311"/>
      <c r="AG78" s="231"/>
      <c r="AH78" s="231"/>
      <c r="AI78" s="231"/>
      <c r="AJ78" s="231"/>
      <c r="AK78" s="231"/>
      <c r="AL78" s="231"/>
      <c r="AM78" s="231"/>
      <c r="AN78" s="231"/>
      <c r="AO78" s="231"/>
      <c r="AP78" s="231"/>
      <c r="AQ78" s="231"/>
      <c r="AR78" s="231"/>
      <c r="AS78" s="231"/>
      <c r="AT78" s="231"/>
      <c r="AU78" s="231" t="str">
        <f>" " &amp; TEXT(AE78,"#0.00%") &amp; " " &amp; "커뮤니티" &amp; " " &amp; IF(P78="","",TEXT(P78,"M/D-")) &amp; IF(Q78="","",TEXT(Q78,"M/D")) &amp; " "</f>
        <v xml:space="preserve"> 100.00% 커뮤니티 4/13-4/19 </v>
      </c>
      <c r="AV78" s="231"/>
      <c r="AW78" s="231"/>
      <c r="AX78" s="231"/>
      <c r="AY78" s="231"/>
      <c r="AZ78" s="231"/>
      <c r="BA78" s="231"/>
      <c r="BB78" s="231"/>
      <c r="BC78" s="231"/>
      <c r="BD78" s="231"/>
      <c r="BE78" s="231"/>
      <c r="BF78" s="231"/>
      <c r="BG78" s="231"/>
      <c r="BH78" s="231"/>
    </row>
    <row r="79" spans="1:60" ht="15.6" outlineLevel="6">
      <c r="A79" s="218"/>
      <c r="B79" s="218"/>
      <c r="C79" s="218">
        <v>7</v>
      </c>
      <c r="D79" s="219" t="s">
        <v>1515</v>
      </c>
      <c r="E79" s="220"/>
      <c r="F79" s="220"/>
      <c r="G79" s="220"/>
      <c r="H79" s="220"/>
      <c r="I79" s="220"/>
      <c r="J79" s="220"/>
      <c r="K79" s="220" t="s">
        <v>1500</v>
      </c>
      <c r="L79" s="220"/>
      <c r="M79" s="220"/>
      <c r="N79" s="220"/>
      <c r="O79" s="220"/>
      <c r="P79" s="221">
        <v>43934</v>
      </c>
      <c r="Q79" s="221">
        <v>43940</v>
      </c>
      <c r="R79" s="222"/>
      <c r="S79" s="223">
        <v>4</v>
      </c>
      <c r="T79" s="223">
        <v>4</v>
      </c>
      <c r="U79" s="224">
        <v>4</v>
      </c>
      <c r="V79" s="224">
        <v>4</v>
      </c>
      <c r="W79" s="221"/>
      <c r="X79" s="221"/>
      <c r="Y79" s="225"/>
      <c r="Z79" s="226">
        <v>0</v>
      </c>
      <c r="AA79" s="227">
        <v>1</v>
      </c>
      <c r="AB79" s="222" t="s">
        <v>1406</v>
      </c>
      <c r="AC79" s="228"/>
      <c r="AD79" s="229">
        <v>1</v>
      </c>
      <c r="AE79" s="229">
        <v>1</v>
      </c>
      <c r="AF79" s="311"/>
      <c r="AG79" s="231"/>
      <c r="AH79" s="231"/>
      <c r="AI79" s="231"/>
      <c r="AJ79" s="231"/>
      <c r="AK79" s="231"/>
      <c r="AL79" s="231"/>
      <c r="AM79" s="231"/>
      <c r="AN79" s="231"/>
      <c r="AO79" s="231"/>
      <c r="AP79" s="231"/>
      <c r="AQ79" s="231"/>
      <c r="AR79" s="231"/>
      <c r="AS79" s="231"/>
      <c r="AT79" s="231"/>
      <c r="AU79" s="231" t="str">
        <f>" " &amp; TEXT(AE79,"#0.00%") &amp; " " &amp; "CRUD" &amp; "(한혜은)" &amp; " " &amp; IF(P79="","",TEXT(P79,"M/D-")) &amp; IF(Q79="","",TEXT(Q79,"M/D")) &amp; " "</f>
        <v xml:space="preserve"> 100.00% CRUD(한혜은) 4/13-4/19 </v>
      </c>
      <c r="AV79" s="231"/>
      <c r="AW79" s="231"/>
      <c r="AX79" s="231"/>
      <c r="AY79" s="231"/>
      <c r="AZ79" s="231"/>
      <c r="BA79" s="231"/>
      <c r="BB79" s="231"/>
      <c r="BC79" s="231"/>
      <c r="BD79" s="231"/>
      <c r="BE79" s="231"/>
      <c r="BF79" s="231"/>
      <c r="BG79" s="231"/>
      <c r="BH79" s="231"/>
    </row>
    <row r="80" spans="1:60" ht="15.6" outlineLevel="5">
      <c r="A80" s="218"/>
      <c r="B80" s="218" t="s">
        <v>1283</v>
      </c>
      <c r="C80" s="218">
        <v>6</v>
      </c>
      <c r="D80" s="219" t="s">
        <v>1517</v>
      </c>
      <c r="E80" s="220"/>
      <c r="F80" s="220"/>
      <c r="G80" s="220"/>
      <c r="H80" s="220"/>
      <c r="I80" s="220"/>
      <c r="J80" s="220" t="s">
        <v>1463</v>
      </c>
      <c r="K80" s="220"/>
      <c r="L80" s="220"/>
      <c r="M80" s="220"/>
      <c r="N80" s="220"/>
      <c r="O80" s="220"/>
      <c r="P80" s="221">
        <v>43941</v>
      </c>
      <c r="Q80" s="221">
        <v>43954</v>
      </c>
      <c r="R80" s="222"/>
      <c r="S80" s="223">
        <v>13</v>
      </c>
      <c r="T80" s="223">
        <v>0</v>
      </c>
      <c r="U80" s="224">
        <v>9</v>
      </c>
      <c r="V80" s="224">
        <v>0</v>
      </c>
      <c r="W80" s="221"/>
      <c r="X80" s="221"/>
      <c r="Y80" s="225">
        <v>0</v>
      </c>
      <c r="Z80" s="226">
        <v>0</v>
      </c>
      <c r="AA80" s="227"/>
      <c r="AB80" s="222"/>
      <c r="AC80" s="228"/>
      <c r="AD80" s="229">
        <v>0</v>
      </c>
      <c r="AE80" s="230">
        <v>0</v>
      </c>
      <c r="AF80" s="311"/>
      <c r="AG80" s="231"/>
      <c r="AH80" s="231"/>
      <c r="AI80" s="231"/>
      <c r="AJ80" s="231"/>
      <c r="AK80" s="231"/>
      <c r="AL80" s="231"/>
      <c r="AM80" s="231"/>
      <c r="AN80" s="231"/>
      <c r="AO80" s="231"/>
      <c r="AP80" s="231"/>
      <c r="AQ80" s="231"/>
      <c r="AR80" s="231"/>
      <c r="AS80" s="231"/>
      <c r="AT80" s="231"/>
      <c r="AU80" s="231" t="str">
        <f>" " &amp; TEXT(AE80,"#0.00%") &amp; " " &amp; "마이페이지" &amp; " " &amp; IF(P80="","",TEXT(P80,"M/D-")) &amp; IF(Q80="","",TEXT(Q80,"M/D")) &amp; " "</f>
        <v xml:space="preserve"> 0.00% 마이페이지 4/20-5/3 </v>
      </c>
      <c r="AV80" s="231"/>
      <c r="AW80" s="231"/>
      <c r="AX80" s="231"/>
      <c r="AY80" s="231"/>
      <c r="AZ80" s="231"/>
      <c r="BA80" s="231"/>
      <c r="BB80" s="231"/>
      <c r="BC80" s="231"/>
      <c r="BD80" s="231"/>
      <c r="BE80" s="231"/>
      <c r="BF80" s="231"/>
      <c r="BG80" s="231"/>
      <c r="BH80" s="231"/>
    </row>
    <row r="81" spans="1:60" ht="15.6" outlineLevel="6">
      <c r="A81" s="218"/>
      <c r="B81" s="218"/>
      <c r="C81" s="218">
        <v>7</v>
      </c>
      <c r="D81" s="219" t="s">
        <v>1518</v>
      </c>
      <c r="E81" s="220"/>
      <c r="F81" s="220"/>
      <c r="G81" s="220"/>
      <c r="H81" s="220"/>
      <c r="I81" s="220"/>
      <c r="J81" s="220"/>
      <c r="K81" s="220" t="s">
        <v>1464</v>
      </c>
      <c r="L81" s="220"/>
      <c r="M81" s="220"/>
      <c r="N81" s="220"/>
      <c r="O81" s="220"/>
      <c r="P81" s="221">
        <v>43941</v>
      </c>
      <c r="Q81" s="221">
        <v>43947</v>
      </c>
      <c r="R81" s="222"/>
      <c r="S81" s="223">
        <v>5</v>
      </c>
      <c r="T81" s="223">
        <v>0</v>
      </c>
      <c r="U81" s="224">
        <v>5</v>
      </c>
      <c r="V81" s="224">
        <v>0</v>
      </c>
      <c r="W81" s="221"/>
      <c r="X81" s="221"/>
      <c r="Y81" s="225"/>
      <c r="Z81" s="226">
        <v>0</v>
      </c>
      <c r="AA81" s="227">
        <v>1</v>
      </c>
      <c r="AB81" s="222" t="s">
        <v>1406</v>
      </c>
      <c r="AC81" s="228"/>
      <c r="AD81" s="229">
        <v>0</v>
      </c>
      <c r="AE81" s="230">
        <v>0</v>
      </c>
      <c r="AF81" s="311"/>
      <c r="AG81" s="231"/>
      <c r="AH81" s="231"/>
      <c r="AI81" s="231"/>
      <c r="AJ81" s="231"/>
      <c r="AK81" s="231"/>
      <c r="AL81" s="231"/>
      <c r="AM81" s="231"/>
      <c r="AN81" s="231"/>
      <c r="AO81" s="231"/>
      <c r="AP81" s="231"/>
      <c r="AQ81" s="231"/>
      <c r="AR81" s="231"/>
      <c r="AS81" s="231"/>
      <c r="AT81" s="231"/>
      <c r="AU81" s="231" t="str">
        <f>" " &amp; TEXT(AE81,"#0.00%") &amp; " " &amp; "프로필 정보" &amp; "(한혜은)" &amp; " " &amp; IF(P81="","",TEXT(P81,"M/D-")) &amp; IF(Q81="","",TEXT(Q81,"M/D")) &amp; " "</f>
        <v xml:space="preserve"> 0.00% 프로필 정보(한혜은) 4/20-4/26 </v>
      </c>
      <c r="AV81" s="231"/>
      <c r="AW81" s="231"/>
      <c r="AX81" s="231"/>
      <c r="AY81" s="231"/>
      <c r="AZ81" s="231"/>
      <c r="BA81" s="231"/>
      <c r="BB81" s="231"/>
      <c r="BC81" s="231"/>
      <c r="BD81" s="231"/>
      <c r="BE81" s="231"/>
      <c r="BF81" s="231"/>
      <c r="BG81" s="231"/>
      <c r="BH81" s="231"/>
    </row>
    <row r="82" spans="1:60" ht="15.6" outlineLevel="6">
      <c r="A82" s="218"/>
      <c r="B82" s="218"/>
      <c r="C82" s="218">
        <v>7</v>
      </c>
      <c r="D82" s="219" t="s">
        <v>1519</v>
      </c>
      <c r="E82" s="220"/>
      <c r="F82" s="220"/>
      <c r="G82" s="220"/>
      <c r="H82" s="220"/>
      <c r="I82" s="220"/>
      <c r="J82" s="220"/>
      <c r="K82" s="220" t="s">
        <v>1465</v>
      </c>
      <c r="L82" s="220"/>
      <c r="M82" s="220"/>
      <c r="N82" s="220"/>
      <c r="O82" s="220"/>
      <c r="P82" s="221">
        <v>43948</v>
      </c>
      <c r="Q82" s="221">
        <v>43954</v>
      </c>
      <c r="R82" s="222"/>
      <c r="S82" s="223">
        <v>4</v>
      </c>
      <c r="T82" s="223">
        <v>0</v>
      </c>
      <c r="U82" s="224">
        <v>4</v>
      </c>
      <c r="V82" s="224">
        <v>0</v>
      </c>
      <c r="W82" s="221"/>
      <c r="X82" s="221"/>
      <c r="Y82" s="225"/>
      <c r="Z82" s="226">
        <v>0</v>
      </c>
      <c r="AA82" s="227">
        <v>1</v>
      </c>
      <c r="AB82" s="222" t="s">
        <v>1406</v>
      </c>
      <c r="AC82" s="228"/>
      <c r="AD82" s="229">
        <v>0</v>
      </c>
      <c r="AE82" s="230">
        <v>0</v>
      </c>
      <c r="AF82" s="311"/>
      <c r="AG82" s="231"/>
      <c r="AH82" s="231"/>
      <c r="AI82" s="231"/>
      <c r="AJ82" s="231"/>
      <c r="AK82" s="231"/>
      <c r="AL82" s="231"/>
      <c r="AM82" s="231"/>
      <c r="AN82" s="231"/>
      <c r="AO82" s="231"/>
      <c r="AP82" s="231"/>
      <c r="AQ82" s="231"/>
      <c r="AR82" s="231"/>
      <c r="AS82" s="231"/>
      <c r="AT82" s="231"/>
      <c r="AU82" s="231"/>
      <c r="AV82" s="231" t="str">
        <f>" " &amp; TEXT(AE82,"#0.00%") &amp; " " &amp; "예약관리(대여자)" &amp; "(한혜은)" &amp; " " &amp; IF(P82="","",TEXT(P82,"M/D-")) &amp; IF(Q82="","",TEXT(Q82,"M/D")) &amp; " "</f>
        <v xml:space="preserve"> 0.00% 예약관리(대여자)(한혜은) 4/27-5/3 </v>
      </c>
      <c r="AW82" s="231"/>
      <c r="AX82" s="231"/>
      <c r="AY82" s="231"/>
      <c r="AZ82" s="231"/>
      <c r="BA82" s="231"/>
      <c r="BB82" s="231"/>
      <c r="BC82" s="231"/>
      <c r="BD82" s="231"/>
      <c r="BE82" s="231"/>
      <c r="BF82" s="231"/>
      <c r="BG82" s="231"/>
      <c r="BH82" s="231"/>
    </row>
    <row r="83" spans="1:60" ht="15.6" outlineLevel="6">
      <c r="A83" s="218"/>
      <c r="B83" s="218"/>
      <c r="C83" s="218">
        <v>7</v>
      </c>
      <c r="D83" s="219" t="s">
        <v>1520</v>
      </c>
      <c r="E83" s="220"/>
      <c r="F83" s="220"/>
      <c r="G83" s="220"/>
      <c r="H83" s="220"/>
      <c r="I83" s="220"/>
      <c r="J83" s="220"/>
      <c r="K83" s="220" t="s">
        <v>1466</v>
      </c>
      <c r="L83" s="220"/>
      <c r="M83" s="220"/>
      <c r="N83" s="220"/>
      <c r="O83" s="220"/>
      <c r="P83" s="221">
        <v>43948</v>
      </c>
      <c r="Q83" s="221">
        <v>43954</v>
      </c>
      <c r="R83" s="222"/>
      <c r="S83" s="223">
        <v>4</v>
      </c>
      <c r="T83" s="223">
        <v>0</v>
      </c>
      <c r="U83" s="224">
        <v>4</v>
      </c>
      <c r="V83" s="224">
        <v>0</v>
      </c>
      <c r="W83" s="221"/>
      <c r="X83" s="221"/>
      <c r="Y83" s="225"/>
      <c r="Z83" s="226">
        <v>0</v>
      </c>
      <c r="AA83" s="227">
        <v>1</v>
      </c>
      <c r="AB83" s="222" t="s">
        <v>1406</v>
      </c>
      <c r="AC83" s="228"/>
      <c r="AD83" s="229">
        <v>0</v>
      </c>
      <c r="AE83" s="230">
        <v>0</v>
      </c>
      <c r="AF83" s="311"/>
      <c r="AG83" s="231"/>
      <c r="AH83" s="231"/>
      <c r="AI83" s="231"/>
      <c r="AJ83" s="231"/>
      <c r="AK83" s="231"/>
      <c r="AL83" s="231"/>
      <c r="AM83" s="231"/>
      <c r="AN83" s="231"/>
      <c r="AO83" s="231"/>
      <c r="AP83" s="231"/>
      <c r="AQ83" s="231"/>
      <c r="AR83" s="231"/>
      <c r="AS83" s="231"/>
      <c r="AT83" s="231"/>
      <c r="AU83" s="231"/>
      <c r="AV83" s="231" t="str">
        <f>" " &amp; TEXT(AE83,"#0.00%") &amp; " " &amp; "예약 확인(이용자)" &amp; "(한혜은)" &amp; " " &amp; IF(P83="","",TEXT(P83,"M/D-")) &amp; IF(Q83="","",TEXT(Q83,"M/D")) &amp; " "</f>
        <v xml:space="preserve"> 0.00% 예약 확인(이용자)(한혜은) 4/27-5/3 </v>
      </c>
      <c r="AW83" s="231"/>
      <c r="AX83" s="231"/>
      <c r="AY83" s="231"/>
      <c r="AZ83" s="231"/>
      <c r="BA83" s="231"/>
      <c r="BB83" s="231"/>
      <c r="BC83" s="231"/>
      <c r="BD83" s="231"/>
      <c r="BE83" s="231"/>
      <c r="BF83" s="231"/>
      <c r="BG83" s="231"/>
      <c r="BH83" s="231"/>
    </row>
    <row r="84" spans="1:60" ht="15.6" outlineLevel="5">
      <c r="A84" s="218"/>
      <c r="B84" s="218" t="s">
        <v>1283</v>
      </c>
      <c r="C84" s="218">
        <v>6</v>
      </c>
      <c r="D84" s="219" t="s">
        <v>1516</v>
      </c>
      <c r="E84" s="220"/>
      <c r="F84" s="220"/>
      <c r="G84" s="220"/>
      <c r="H84" s="220"/>
      <c r="I84" s="220"/>
      <c r="J84" s="220" t="s">
        <v>1391</v>
      </c>
      <c r="K84" s="220"/>
      <c r="L84" s="220"/>
      <c r="M84" s="220"/>
      <c r="N84" s="220"/>
      <c r="O84" s="220"/>
      <c r="P84" s="221">
        <v>43952</v>
      </c>
      <c r="Q84" s="221">
        <v>43968</v>
      </c>
      <c r="R84" s="222"/>
      <c r="S84" s="223">
        <v>20</v>
      </c>
      <c r="T84" s="223">
        <v>0</v>
      </c>
      <c r="U84" s="224">
        <v>10</v>
      </c>
      <c r="V84" s="224">
        <v>0</v>
      </c>
      <c r="W84" s="221"/>
      <c r="X84" s="221"/>
      <c r="Y84" s="225">
        <v>0</v>
      </c>
      <c r="Z84" s="226">
        <v>0</v>
      </c>
      <c r="AA84" s="227"/>
      <c r="AB84" s="222"/>
      <c r="AC84" s="228"/>
      <c r="AD84" s="229">
        <v>0</v>
      </c>
      <c r="AE84" s="230">
        <v>0</v>
      </c>
      <c r="AF84" s="311"/>
      <c r="AG84" s="231"/>
      <c r="AH84" s="231"/>
      <c r="AI84" s="231"/>
      <c r="AJ84" s="231"/>
      <c r="AK84" s="231"/>
      <c r="AL84" s="231"/>
      <c r="AM84" s="231"/>
      <c r="AN84" s="231"/>
      <c r="AO84" s="231"/>
      <c r="AP84" s="231"/>
      <c r="AQ84" s="231"/>
      <c r="AR84" s="231"/>
      <c r="AS84" s="231"/>
      <c r="AT84" s="231"/>
      <c r="AU84" s="231"/>
      <c r="AV84" s="231" t="str">
        <f>"     " &amp; TEXT(AE84,"#0.00%") &amp; " " &amp; "랭킹" &amp; " " &amp; IF(P84="","",TEXT(P84,"M/D-")) &amp; IF(Q84="","",TEXT(Q84,"M/D")) &amp; " "</f>
        <v xml:space="preserve">     0.00% 랭킹 5/1-5/17 </v>
      </c>
      <c r="AW84" s="231"/>
      <c r="AX84" s="231"/>
      <c r="AY84" s="231"/>
      <c r="AZ84" s="231"/>
      <c r="BA84" s="231"/>
      <c r="BB84" s="231"/>
      <c r="BC84" s="231"/>
      <c r="BD84" s="231"/>
      <c r="BE84" s="231"/>
      <c r="BF84" s="231"/>
      <c r="BG84" s="231"/>
      <c r="BH84" s="231"/>
    </row>
    <row r="85" spans="1:60" ht="15.6" outlineLevel="6">
      <c r="A85" s="218"/>
      <c r="B85" s="218"/>
      <c r="C85" s="218">
        <v>7</v>
      </c>
      <c r="D85" s="219" t="s">
        <v>1521</v>
      </c>
      <c r="E85" s="220"/>
      <c r="F85" s="220"/>
      <c r="G85" s="220"/>
      <c r="H85" s="220"/>
      <c r="I85" s="220"/>
      <c r="J85" s="220"/>
      <c r="K85" s="220" t="s">
        <v>1467</v>
      </c>
      <c r="L85" s="220"/>
      <c r="M85" s="220"/>
      <c r="N85" s="220"/>
      <c r="O85" s="220"/>
      <c r="P85" s="221">
        <v>43952</v>
      </c>
      <c r="Q85" s="221">
        <v>43968</v>
      </c>
      <c r="R85" s="222"/>
      <c r="S85" s="223">
        <v>10</v>
      </c>
      <c r="T85" s="223">
        <v>0</v>
      </c>
      <c r="U85" s="224">
        <v>10</v>
      </c>
      <c r="V85" s="224">
        <v>0</v>
      </c>
      <c r="W85" s="221"/>
      <c r="X85" s="221"/>
      <c r="Y85" s="225"/>
      <c r="Z85" s="226">
        <v>0</v>
      </c>
      <c r="AA85" s="227">
        <v>1</v>
      </c>
      <c r="AB85" s="222" t="s">
        <v>1405</v>
      </c>
      <c r="AC85" s="228"/>
      <c r="AD85" s="229">
        <v>0</v>
      </c>
      <c r="AE85" s="230">
        <v>0</v>
      </c>
      <c r="AF85" s="311"/>
      <c r="AG85" s="231"/>
      <c r="AH85" s="231"/>
      <c r="AI85" s="231"/>
      <c r="AJ85" s="231"/>
      <c r="AK85" s="231"/>
      <c r="AL85" s="231"/>
      <c r="AM85" s="231"/>
      <c r="AN85" s="231"/>
      <c r="AO85" s="231"/>
      <c r="AP85" s="231"/>
      <c r="AQ85" s="231"/>
      <c r="AR85" s="231"/>
      <c r="AS85" s="231"/>
      <c r="AT85" s="231"/>
      <c r="AU85" s="231"/>
      <c r="AV85" s="231" t="str">
        <f>"     " &amp; TEXT(AE85,"#0.00%") &amp; " " &amp; "어종 확인" &amp; "(김주은)" &amp; " " &amp; IF(P85="","",TEXT(P85,"M/D-")) &amp; IF(Q85="","",TEXT(Q85,"M/D")) &amp; " "</f>
        <v xml:space="preserve">     0.00% 어종 확인(김주은) 5/1-5/17 </v>
      </c>
      <c r="AW85" s="231"/>
      <c r="AX85" s="231"/>
      <c r="AY85" s="231"/>
      <c r="AZ85" s="231"/>
      <c r="BA85" s="231"/>
      <c r="BB85" s="231"/>
      <c r="BC85" s="231"/>
      <c r="BD85" s="231"/>
      <c r="BE85" s="231"/>
      <c r="BF85" s="231"/>
      <c r="BG85" s="231"/>
      <c r="BH85" s="231"/>
    </row>
    <row r="86" spans="1:60" ht="15.6" outlineLevel="6">
      <c r="A86" s="218"/>
      <c r="B86" s="218"/>
      <c r="C86" s="218">
        <v>7</v>
      </c>
      <c r="D86" s="219" t="s">
        <v>1522</v>
      </c>
      <c r="E86" s="220"/>
      <c r="F86" s="220"/>
      <c r="G86" s="220"/>
      <c r="H86" s="220"/>
      <c r="I86" s="220"/>
      <c r="J86" s="220"/>
      <c r="K86" s="220" t="s">
        <v>1468</v>
      </c>
      <c r="L86" s="220"/>
      <c r="M86" s="220"/>
      <c r="N86" s="220"/>
      <c r="O86" s="220"/>
      <c r="P86" s="221">
        <v>43952</v>
      </c>
      <c r="Q86" s="221">
        <v>43968</v>
      </c>
      <c r="R86" s="222"/>
      <c r="S86" s="223">
        <v>10</v>
      </c>
      <c r="T86" s="223">
        <v>0</v>
      </c>
      <c r="U86" s="224">
        <v>10</v>
      </c>
      <c r="V86" s="224">
        <v>0</v>
      </c>
      <c r="W86" s="221"/>
      <c r="X86" s="221"/>
      <c r="Y86" s="225"/>
      <c r="Z86" s="226">
        <v>0</v>
      </c>
      <c r="AA86" s="227">
        <v>1</v>
      </c>
      <c r="AB86" s="222" t="s">
        <v>1405</v>
      </c>
      <c r="AC86" s="228"/>
      <c r="AD86" s="229">
        <v>0</v>
      </c>
      <c r="AE86" s="230">
        <v>0</v>
      </c>
      <c r="AF86" s="311"/>
      <c r="AG86" s="231"/>
      <c r="AH86" s="231"/>
      <c r="AI86" s="231"/>
      <c r="AJ86" s="231"/>
      <c r="AK86" s="231"/>
      <c r="AL86" s="231"/>
      <c r="AM86" s="231"/>
      <c r="AN86" s="231"/>
      <c r="AO86" s="231"/>
      <c r="AP86" s="231"/>
      <c r="AQ86" s="231"/>
      <c r="AR86" s="231"/>
      <c r="AS86" s="231"/>
      <c r="AT86" s="231"/>
      <c r="AU86" s="231"/>
      <c r="AV86" s="231" t="str">
        <f>"     " &amp; TEXT(AE86,"#0.00%") &amp; " " &amp; "기능 구현" &amp; "(김주은)" &amp; " " &amp; IF(P86="","",TEXT(P86,"M/D-")) &amp; IF(Q86="","",TEXT(Q86,"M/D")) &amp; " "</f>
        <v xml:space="preserve">     0.00% 기능 구현(김주은) 5/1-5/17 </v>
      </c>
      <c r="AW86" s="231"/>
      <c r="AX86" s="231"/>
      <c r="AY86" s="231"/>
      <c r="AZ86" s="231"/>
      <c r="BA86" s="231"/>
      <c r="BB86" s="231"/>
      <c r="BC86" s="231"/>
      <c r="BD86" s="231"/>
      <c r="BE86" s="231"/>
      <c r="BF86" s="231"/>
      <c r="BG86" s="231"/>
      <c r="BH86" s="231"/>
    </row>
    <row r="87" spans="1:60" ht="15.6" outlineLevel="5">
      <c r="A87" s="218"/>
      <c r="B87" s="218" t="s">
        <v>1283</v>
      </c>
      <c r="C87" s="218">
        <v>6</v>
      </c>
      <c r="D87" s="219" t="s">
        <v>1523</v>
      </c>
      <c r="E87" s="220"/>
      <c r="F87" s="220"/>
      <c r="G87" s="220"/>
      <c r="H87" s="220"/>
      <c r="I87" s="220"/>
      <c r="J87" s="220" t="s">
        <v>1469</v>
      </c>
      <c r="K87" s="220"/>
      <c r="L87" s="220"/>
      <c r="M87" s="220"/>
      <c r="N87" s="220"/>
      <c r="O87" s="220"/>
      <c r="P87" s="221">
        <v>43941</v>
      </c>
      <c r="Q87" s="221">
        <v>43954</v>
      </c>
      <c r="R87" s="222"/>
      <c r="S87" s="223">
        <v>9</v>
      </c>
      <c r="T87" s="223">
        <v>0</v>
      </c>
      <c r="U87" s="224">
        <v>9</v>
      </c>
      <c r="V87" s="224">
        <v>0</v>
      </c>
      <c r="W87" s="221"/>
      <c r="X87" s="221"/>
      <c r="Y87" s="225">
        <v>0</v>
      </c>
      <c r="Z87" s="226">
        <v>0</v>
      </c>
      <c r="AA87" s="227"/>
      <c r="AB87" s="222"/>
      <c r="AC87" s="228"/>
      <c r="AD87" s="229">
        <v>0</v>
      </c>
      <c r="AE87" s="230">
        <v>0</v>
      </c>
      <c r="AF87" s="311"/>
      <c r="AG87" s="231"/>
      <c r="AH87" s="231"/>
      <c r="AI87" s="231"/>
      <c r="AJ87" s="231"/>
      <c r="AK87" s="231"/>
      <c r="AL87" s="231"/>
      <c r="AM87" s="231"/>
      <c r="AN87" s="231"/>
      <c r="AO87" s="231"/>
      <c r="AP87" s="231"/>
      <c r="AQ87" s="231"/>
      <c r="AR87" s="231"/>
      <c r="AS87" s="231"/>
      <c r="AT87" s="231"/>
      <c r="AU87" s="231" t="str">
        <f>" " &amp; TEXT(AE87,"#0.00%") &amp; " " &amp; "예약" &amp; " " &amp; IF(P87="","",TEXT(P87,"M/D-")) &amp; IF(Q87="","",TEXT(Q87,"M/D")) &amp; " "</f>
        <v xml:space="preserve"> 0.00% 예약 4/20-5/3 </v>
      </c>
      <c r="AV87" s="231"/>
      <c r="AW87" s="231"/>
      <c r="AX87" s="231"/>
      <c r="AY87" s="231"/>
      <c r="AZ87" s="231"/>
      <c r="BA87" s="231"/>
      <c r="BB87" s="231"/>
      <c r="BC87" s="231"/>
      <c r="BD87" s="231"/>
      <c r="BE87" s="231"/>
      <c r="BF87" s="231"/>
      <c r="BG87" s="231"/>
      <c r="BH87" s="231"/>
    </row>
    <row r="88" spans="1:60" ht="15.6" outlineLevel="6">
      <c r="A88" s="218"/>
      <c r="B88" s="218"/>
      <c r="C88" s="218">
        <v>7</v>
      </c>
      <c r="D88" s="219" t="s">
        <v>1524</v>
      </c>
      <c r="E88" s="220"/>
      <c r="F88" s="220"/>
      <c r="G88" s="220"/>
      <c r="H88" s="220"/>
      <c r="I88" s="220"/>
      <c r="J88" s="220"/>
      <c r="K88" s="220" t="s">
        <v>1470</v>
      </c>
      <c r="L88" s="220"/>
      <c r="M88" s="220"/>
      <c r="N88" s="220"/>
      <c r="O88" s="220"/>
      <c r="P88" s="221">
        <v>43941</v>
      </c>
      <c r="Q88" s="221">
        <v>43947</v>
      </c>
      <c r="R88" s="222"/>
      <c r="S88" s="223">
        <v>5</v>
      </c>
      <c r="T88" s="223">
        <v>0</v>
      </c>
      <c r="U88" s="224">
        <v>5</v>
      </c>
      <c r="V88" s="224">
        <v>0</v>
      </c>
      <c r="W88" s="221"/>
      <c r="X88" s="221"/>
      <c r="Y88" s="225"/>
      <c r="Z88" s="226">
        <v>0</v>
      </c>
      <c r="AA88" s="227">
        <v>1</v>
      </c>
      <c r="AB88" s="222" t="s">
        <v>1486</v>
      </c>
      <c r="AC88" s="228"/>
      <c r="AD88" s="229">
        <v>0</v>
      </c>
      <c r="AE88" s="230">
        <v>0</v>
      </c>
      <c r="AF88" s="311"/>
      <c r="AG88" s="231"/>
      <c r="AH88" s="231"/>
      <c r="AI88" s="231"/>
      <c r="AJ88" s="231"/>
      <c r="AK88" s="231"/>
      <c r="AL88" s="231"/>
      <c r="AM88" s="231"/>
      <c r="AN88" s="231"/>
      <c r="AO88" s="231"/>
      <c r="AP88" s="231"/>
      <c r="AQ88" s="231"/>
      <c r="AR88" s="231"/>
      <c r="AS88" s="231"/>
      <c r="AT88" s="231"/>
      <c r="AU88" s="231" t="str">
        <f>" " &amp; TEXT(AE88,"#0.00%") &amp; " " &amp; "예약서비스(이용자)" &amp; "(김주은, 한혜은)" &amp; " " &amp; IF(P88="","",TEXT(P88,"M/D-")) &amp; IF(Q88="","",TEXT(Q88,"M/D")) &amp; " "</f>
        <v xml:space="preserve"> 0.00% 예약서비스(이용자)(김주은, 한혜은) 4/20-4/26 </v>
      </c>
      <c r="AV88" s="231"/>
      <c r="AW88" s="231"/>
      <c r="AX88" s="231"/>
      <c r="AY88" s="231"/>
      <c r="AZ88" s="231"/>
      <c r="BA88" s="231"/>
      <c r="BB88" s="231"/>
      <c r="BC88" s="231"/>
      <c r="BD88" s="231"/>
      <c r="BE88" s="231"/>
      <c r="BF88" s="231"/>
      <c r="BG88" s="231"/>
      <c r="BH88" s="231"/>
    </row>
    <row r="89" spans="1:60" ht="15.6" outlineLevel="6">
      <c r="A89" s="218"/>
      <c r="B89" s="218"/>
      <c r="C89" s="218">
        <v>7</v>
      </c>
      <c r="D89" s="219" t="s">
        <v>1525</v>
      </c>
      <c r="E89" s="220"/>
      <c r="F89" s="220"/>
      <c r="G89" s="220"/>
      <c r="H89" s="220"/>
      <c r="I89" s="220"/>
      <c r="J89" s="220"/>
      <c r="K89" s="220" t="s">
        <v>1471</v>
      </c>
      <c r="L89" s="220"/>
      <c r="M89" s="220"/>
      <c r="N89" s="220"/>
      <c r="O89" s="220"/>
      <c r="P89" s="221">
        <v>43948</v>
      </c>
      <c r="Q89" s="221">
        <v>43954</v>
      </c>
      <c r="R89" s="222"/>
      <c r="S89" s="223">
        <v>4</v>
      </c>
      <c r="T89" s="223">
        <v>0</v>
      </c>
      <c r="U89" s="224">
        <v>4</v>
      </c>
      <c r="V89" s="224">
        <v>0</v>
      </c>
      <c r="W89" s="221"/>
      <c r="X89" s="221"/>
      <c r="Y89" s="225"/>
      <c r="Z89" s="226">
        <v>0</v>
      </c>
      <c r="AA89" s="227">
        <v>1</v>
      </c>
      <c r="AB89" s="222" t="s">
        <v>1486</v>
      </c>
      <c r="AC89" s="228"/>
      <c r="AD89" s="229">
        <v>0</v>
      </c>
      <c r="AE89" s="230">
        <v>0</v>
      </c>
      <c r="AF89" s="311"/>
      <c r="AG89" s="231"/>
      <c r="AH89" s="231"/>
      <c r="AI89" s="231"/>
      <c r="AJ89" s="231"/>
      <c r="AK89" s="231"/>
      <c r="AL89" s="231"/>
      <c r="AM89" s="231"/>
      <c r="AN89" s="231"/>
      <c r="AO89" s="231"/>
      <c r="AP89" s="231"/>
      <c r="AQ89" s="231"/>
      <c r="AR89" s="231"/>
      <c r="AS89" s="231"/>
      <c r="AT89" s="231"/>
      <c r="AU89" s="231"/>
      <c r="AV89" s="231" t="str">
        <f>" " &amp; TEXT(AE89,"#0.00%") &amp; " " &amp; "예약 정보 및 알람(판매자)" &amp; "(김주은, 한혜은)" &amp; " " &amp; IF(P89="","",TEXT(P89,"M/D-")) &amp; IF(Q89="","",TEXT(Q89,"M/D")) &amp; " "</f>
        <v xml:space="preserve"> 0.00% 예약 정보 및 알람(판매자)(김주은, 한혜은) 4/27-5/3 </v>
      </c>
      <c r="AW89" s="231"/>
      <c r="AX89" s="231"/>
      <c r="AY89" s="231"/>
      <c r="AZ89" s="231"/>
      <c r="BA89" s="231"/>
      <c r="BB89" s="231"/>
      <c r="BC89" s="231"/>
      <c r="BD89" s="231"/>
      <c r="BE89" s="231"/>
      <c r="BF89" s="231"/>
      <c r="BG89" s="231"/>
      <c r="BH89" s="231"/>
    </row>
    <row r="90" spans="1:60" ht="15.6" outlineLevel="5">
      <c r="A90" s="218"/>
      <c r="B90" s="218" t="s">
        <v>1283</v>
      </c>
      <c r="C90" s="218">
        <v>6</v>
      </c>
      <c r="D90" s="219" t="s">
        <v>1526</v>
      </c>
      <c r="E90" s="220"/>
      <c r="F90" s="220"/>
      <c r="G90" s="220"/>
      <c r="H90" s="220"/>
      <c r="I90" s="220"/>
      <c r="J90" s="220" t="s">
        <v>1506</v>
      </c>
      <c r="K90" s="220"/>
      <c r="L90" s="220"/>
      <c r="M90" s="220"/>
      <c r="N90" s="220"/>
      <c r="O90" s="220"/>
      <c r="P90" s="221">
        <v>43948</v>
      </c>
      <c r="Q90" s="221">
        <v>43954</v>
      </c>
      <c r="R90" s="222"/>
      <c r="S90" s="223">
        <v>4</v>
      </c>
      <c r="T90" s="223">
        <v>0</v>
      </c>
      <c r="U90" s="224">
        <v>4</v>
      </c>
      <c r="V90" s="224">
        <v>0</v>
      </c>
      <c r="W90" s="221"/>
      <c r="X90" s="221"/>
      <c r="Y90" s="225">
        <v>0</v>
      </c>
      <c r="Z90" s="226">
        <v>0</v>
      </c>
      <c r="AA90" s="227"/>
      <c r="AB90" s="222"/>
      <c r="AC90" s="228"/>
      <c r="AD90" s="229">
        <v>0</v>
      </c>
      <c r="AE90" s="229">
        <v>1</v>
      </c>
      <c r="AF90" s="311"/>
      <c r="AG90" s="231"/>
      <c r="AH90" s="231"/>
      <c r="AI90" s="231"/>
      <c r="AJ90" s="231"/>
      <c r="AK90" s="231"/>
      <c r="AL90" s="231"/>
      <c r="AM90" s="231"/>
      <c r="AN90" s="231"/>
      <c r="AO90" s="231"/>
      <c r="AP90" s="231"/>
      <c r="AQ90" s="231"/>
      <c r="AR90" s="231"/>
      <c r="AS90" s="231"/>
      <c r="AT90" s="231"/>
      <c r="AU90" s="231"/>
      <c r="AV90" s="231"/>
      <c r="AW90" s="231" t="str">
        <f>" " &amp; TEXT(AE90,"#0.00%") &amp; " " &amp; "크롤링데이터" &amp; " " &amp; IF(P90="","",TEXT(P90,"M/D-")) &amp; IF(Q90="","",TEXT(Q90,"M/D")) &amp; " "</f>
        <v xml:space="preserve"> 100.00% 크롤링데이터 4/27-5/3 </v>
      </c>
      <c r="AX90" s="231"/>
      <c r="AY90" s="231"/>
      <c r="AZ90" s="231"/>
      <c r="BA90" s="231"/>
      <c r="BB90" s="231"/>
      <c r="BC90" s="231"/>
      <c r="BD90" s="231"/>
      <c r="BE90" s="231"/>
      <c r="BF90" s="231"/>
      <c r="BG90" s="231"/>
      <c r="BH90" s="231"/>
    </row>
    <row r="91" spans="1:60" ht="15.6" outlineLevel="6">
      <c r="A91" s="218"/>
      <c r="B91" s="218"/>
      <c r="C91" s="218">
        <v>7</v>
      </c>
      <c r="D91" s="219" t="s">
        <v>1527</v>
      </c>
      <c r="E91" s="220"/>
      <c r="F91" s="220"/>
      <c r="G91" s="220"/>
      <c r="H91" s="220"/>
      <c r="I91" s="220"/>
      <c r="J91" s="220"/>
      <c r="K91" s="220" t="s">
        <v>1507</v>
      </c>
      <c r="L91" s="220"/>
      <c r="M91" s="220"/>
      <c r="N91" s="220"/>
      <c r="O91" s="220"/>
      <c r="P91" s="221">
        <v>43948</v>
      </c>
      <c r="Q91" s="221">
        <v>43954</v>
      </c>
      <c r="R91" s="222"/>
      <c r="S91" s="223">
        <v>4</v>
      </c>
      <c r="T91" s="223">
        <v>0</v>
      </c>
      <c r="U91" s="224">
        <v>4</v>
      </c>
      <c r="V91" s="224">
        <v>0</v>
      </c>
      <c r="W91" s="221"/>
      <c r="X91" s="221"/>
      <c r="Y91" s="225"/>
      <c r="Z91" s="226">
        <v>0</v>
      </c>
      <c r="AA91" s="227">
        <v>1</v>
      </c>
      <c r="AB91" s="222" t="s">
        <v>1405</v>
      </c>
      <c r="AC91" s="228"/>
      <c r="AD91" s="229">
        <v>0</v>
      </c>
      <c r="AE91" s="229">
        <v>1</v>
      </c>
      <c r="AF91" s="311"/>
      <c r="AG91" s="231"/>
      <c r="AH91" s="231"/>
      <c r="AI91" s="231"/>
      <c r="AJ91" s="231"/>
      <c r="AK91" s="231"/>
      <c r="AL91" s="231"/>
      <c r="AM91" s="231"/>
      <c r="AN91" s="231"/>
      <c r="AO91" s="231"/>
      <c r="AP91" s="231"/>
      <c r="AQ91" s="231"/>
      <c r="AR91" s="231"/>
      <c r="AS91" s="231"/>
      <c r="AT91" s="231"/>
      <c r="AU91" s="231"/>
      <c r="AV91" s="231"/>
      <c r="AW91" s="231" t="str">
        <f>" " &amp; TEXT(AE91,"#0.00%") &amp; " " &amp; "크롤링데이터(낚시터, 날씨, 물때 정보) 확인" &amp; "(김주은)" &amp; " " &amp; IF(P91="","",TEXT(P91,"M/D-")) &amp; IF(Q91="","",TEXT(Q91,"M/D")) &amp; " "</f>
        <v xml:space="preserve"> 100.00% 크롤링데이터(낚시터, 날씨, 물때 정보) 확인(김주은) 4/27-5/3 </v>
      </c>
      <c r="AX91" s="231"/>
      <c r="AY91" s="231"/>
      <c r="AZ91" s="231"/>
      <c r="BA91" s="231"/>
      <c r="BB91" s="231"/>
      <c r="BC91" s="231"/>
      <c r="BD91" s="231"/>
      <c r="BE91" s="231"/>
      <c r="BF91" s="231"/>
      <c r="BG91" s="231"/>
      <c r="BH91" s="231"/>
    </row>
    <row r="92" spans="1:60" ht="15.6">
      <c r="A92" s="218"/>
      <c r="B92" s="218"/>
      <c r="C92" s="218">
        <v>1</v>
      </c>
      <c r="D92" s="219" t="s">
        <v>1174</v>
      </c>
      <c r="E92" s="220" t="s">
        <v>1424</v>
      </c>
      <c r="F92" s="220"/>
      <c r="G92" s="220"/>
      <c r="H92" s="288"/>
      <c r="I92" s="220"/>
      <c r="J92" s="220"/>
      <c r="K92" s="220"/>
      <c r="L92" s="220"/>
      <c r="M92" s="220"/>
      <c r="N92" s="220"/>
      <c r="O92" s="220"/>
      <c r="P92" s="221">
        <v>44013</v>
      </c>
      <c r="Q92" s="221">
        <v>44027</v>
      </c>
      <c r="R92" s="222"/>
      <c r="S92" s="223">
        <v>11</v>
      </c>
      <c r="T92" s="223">
        <v>0</v>
      </c>
      <c r="U92" s="224">
        <v>11</v>
      </c>
      <c r="V92" s="224">
        <v>0</v>
      </c>
      <c r="W92" s="221"/>
      <c r="X92" s="221"/>
      <c r="Y92" s="225"/>
      <c r="Z92" s="226">
        <v>0</v>
      </c>
      <c r="AA92" s="227">
        <v>1</v>
      </c>
      <c r="AB92" s="222"/>
      <c r="AC92" s="228" t="s">
        <v>1511</v>
      </c>
      <c r="AD92" s="229">
        <v>0</v>
      </c>
      <c r="AE92" s="230">
        <v>0</v>
      </c>
      <c r="AF92" s="311"/>
      <c r="AG92" s="231"/>
      <c r="AH92" s="231"/>
      <c r="AI92" s="231"/>
      <c r="AJ92" s="231"/>
      <c r="AK92" s="231"/>
      <c r="AL92" s="231"/>
      <c r="AM92" s="231"/>
      <c r="AN92" s="231"/>
      <c r="AO92" s="231"/>
      <c r="AP92" s="231"/>
      <c r="AQ92" s="231"/>
      <c r="AR92" s="231"/>
      <c r="AS92" s="231"/>
      <c r="AT92" s="231"/>
      <c r="AU92" s="231"/>
      <c r="AV92" s="231"/>
      <c r="AW92" s="231"/>
      <c r="AX92" s="231"/>
      <c r="AY92" s="231"/>
      <c r="AZ92" s="231"/>
      <c r="BA92" s="231"/>
      <c r="BB92" s="231"/>
      <c r="BC92" s="231"/>
      <c r="BD92" s="231"/>
      <c r="BE92" s="231" t="str">
        <f>"   " &amp; TEXT(AE92,"#0.00%") &amp; " " &amp; "프로토 타입 발표" &amp; " " &amp; IF(P92="","",TEXT(P92,"M/D-")) &amp; IF(Q92="","",TEXT(Q92,"M/D")) &amp; " "</f>
        <v xml:space="preserve">   0.00% 프로토 타입 발표 7/1-7/15 </v>
      </c>
      <c r="BF92" s="231"/>
      <c r="BG92" s="231"/>
      <c r="BH92" s="231"/>
    </row>
    <row r="93" spans="1:60" ht="15.6">
      <c r="A93" s="218"/>
      <c r="B93" s="218"/>
      <c r="C93" s="218">
        <v>1</v>
      </c>
      <c r="D93" s="219" t="s">
        <v>1175</v>
      </c>
      <c r="E93" s="220" t="s">
        <v>1425</v>
      </c>
      <c r="F93" s="220"/>
      <c r="G93" s="220"/>
      <c r="H93" s="220"/>
      <c r="I93" s="288"/>
      <c r="J93" s="220"/>
      <c r="K93" s="220"/>
      <c r="L93" s="220"/>
      <c r="M93" s="220"/>
      <c r="N93" s="220"/>
      <c r="O93" s="220"/>
      <c r="P93" s="221">
        <v>44013</v>
      </c>
      <c r="Q93" s="221">
        <v>44022</v>
      </c>
      <c r="R93" s="222"/>
      <c r="S93" s="223">
        <v>8</v>
      </c>
      <c r="T93" s="223">
        <v>0</v>
      </c>
      <c r="U93" s="224">
        <v>8</v>
      </c>
      <c r="V93" s="224">
        <v>0</v>
      </c>
      <c r="W93" s="221"/>
      <c r="X93" s="221"/>
      <c r="Y93" s="225"/>
      <c r="Z93" s="226">
        <v>0</v>
      </c>
      <c r="AA93" s="227">
        <v>1</v>
      </c>
      <c r="AB93" s="222" t="s">
        <v>1406</v>
      </c>
      <c r="AC93" s="228"/>
      <c r="AD93" s="229">
        <v>0</v>
      </c>
      <c r="AE93" s="230">
        <v>0</v>
      </c>
      <c r="AF93" s="311"/>
      <c r="AG93" s="231"/>
      <c r="AH93" s="231"/>
      <c r="AI93" s="231"/>
      <c r="AJ93" s="231"/>
      <c r="AK93" s="231"/>
      <c r="AL93" s="231"/>
      <c r="AM93" s="231"/>
      <c r="AN93" s="231"/>
      <c r="AO93" s="231"/>
      <c r="AP93" s="231"/>
      <c r="AQ93" s="231"/>
      <c r="AR93" s="231"/>
      <c r="AS93" s="231"/>
      <c r="AT93" s="231"/>
      <c r="AU93" s="231"/>
      <c r="AV93" s="231"/>
      <c r="AW93" s="231"/>
      <c r="AX93" s="231"/>
      <c r="AY93" s="231"/>
      <c r="AZ93" s="231"/>
      <c r="BA93" s="231"/>
      <c r="BB93" s="231"/>
      <c r="BC93" s="231"/>
      <c r="BD93" s="231"/>
      <c r="BE93" s="231" t="str">
        <f>"   " &amp; TEXT(AE93,"#0.00%") &amp; " " &amp; "PPT 작성" &amp; "(한혜은)" &amp; " " &amp; IF(P93="","",TEXT(P93,"M/D-")) &amp; IF(Q93="","",TEXT(Q93,"M/D")) &amp; " "</f>
        <v xml:space="preserve">   0.00% PPT 작성(한혜은) 7/1-7/10 </v>
      </c>
      <c r="BF93" s="231"/>
      <c r="BG93" s="231"/>
      <c r="BH93" s="231"/>
    </row>
    <row r="94" spans="1:60" ht="15.6">
      <c r="A94" s="218"/>
      <c r="B94" s="218"/>
      <c r="C94" s="218">
        <v>1</v>
      </c>
      <c r="D94" s="219" t="s">
        <v>1192</v>
      </c>
      <c r="E94" s="220" t="s">
        <v>1426</v>
      </c>
      <c r="F94" s="220"/>
      <c r="G94" s="220"/>
      <c r="H94" s="220"/>
      <c r="I94" s="288"/>
      <c r="J94" s="220"/>
      <c r="K94" s="220"/>
      <c r="L94" s="220"/>
      <c r="M94" s="220"/>
      <c r="N94" s="220"/>
      <c r="O94" s="220"/>
      <c r="P94" s="221">
        <v>44013</v>
      </c>
      <c r="Q94" s="221">
        <v>44022</v>
      </c>
      <c r="R94" s="222"/>
      <c r="S94" s="223">
        <v>8</v>
      </c>
      <c r="T94" s="223">
        <v>0</v>
      </c>
      <c r="U94" s="224">
        <v>8</v>
      </c>
      <c r="V94" s="224">
        <v>0</v>
      </c>
      <c r="W94" s="221"/>
      <c r="X94" s="221"/>
      <c r="Y94" s="225"/>
      <c r="Z94" s="226">
        <v>0</v>
      </c>
      <c r="AA94" s="227">
        <v>1</v>
      </c>
      <c r="AB94" s="222"/>
      <c r="AC94" s="228"/>
      <c r="AD94" s="229">
        <v>0</v>
      </c>
      <c r="AE94" s="230">
        <v>0</v>
      </c>
      <c r="AF94" s="311"/>
      <c r="AG94" s="231"/>
      <c r="AH94" s="231"/>
      <c r="AI94" s="231"/>
      <c r="AJ94" s="231"/>
      <c r="AK94" s="231"/>
      <c r="AL94" s="231"/>
      <c r="AM94" s="231"/>
      <c r="AN94" s="231"/>
      <c r="AO94" s="231"/>
      <c r="AP94" s="231"/>
      <c r="AQ94" s="231"/>
      <c r="AR94" s="231"/>
      <c r="AS94" s="231"/>
      <c r="AT94" s="231"/>
      <c r="AU94" s="231"/>
      <c r="AV94" s="231"/>
      <c r="AW94" s="231"/>
      <c r="AX94" s="231"/>
      <c r="AY94" s="231"/>
      <c r="AZ94" s="231"/>
      <c r="BA94" s="231"/>
      <c r="BB94" s="231"/>
      <c r="BC94" s="231"/>
      <c r="BD94" s="231"/>
      <c r="BE94" s="231" t="str">
        <f>"   " &amp; TEXT(AE94,"#0.00%") &amp; " " &amp; "발표 준비" &amp; " " &amp; IF(P94="","",TEXT(P94,"M/D-")) &amp; IF(Q94="","",TEXT(Q94,"M/D")) &amp; " "</f>
        <v xml:space="preserve">   0.00% 발표 준비 7/1-7/10 </v>
      </c>
      <c r="BF94" s="231"/>
      <c r="BG94" s="231"/>
      <c r="BH94" s="231"/>
    </row>
    <row r="95" spans="1:60" ht="15.6">
      <c r="A95" s="218"/>
      <c r="B95" s="218"/>
      <c r="C95" s="218">
        <v>1</v>
      </c>
      <c r="D95" s="219" t="s">
        <v>1193</v>
      </c>
      <c r="E95" s="220" t="s">
        <v>1427</v>
      </c>
      <c r="F95" s="220"/>
      <c r="G95" s="220"/>
      <c r="H95" s="220"/>
      <c r="I95" s="288"/>
      <c r="J95" s="220"/>
      <c r="K95" s="220"/>
      <c r="L95" s="220"/>
      <c r="M95" s="220"/>
      <c r="N95" s="220"/>
      <c r="O95" s="220"/>
      <c r="P95" s="221">
        <v>44022</v>
      </c>
      <c r="Q95" s="221">
        <v>44027</v>
      </c>
      <c r="R95" s="222"/>
      <c r="S95" s="223">
        <v>4</v>
      </c>
      <c r="T95" s="223">
        <v>0</v>
      </c>
      <c r="U95" s="224">
        <v>4</v>
      </c>
      <c r="V95" s="224">
        <v>0</v>
      </c>
      <c r="W95" s="221"/>
      <c r="X95" s="221"/>
      <c r="Y95" s="225"/>
      <c r="Z95" s="226">
        <v>0</v>
      </c>
      <c r="AA95" s="227">
        <v>1</v>
      </c>
      <c r="AB95" s="222" t="s">
        <v>1405</v>
      </c>
      <c r="AC95" s="228"/>
      <c r="AD95" s="229">
        <v>0</v>
      </c>
      <c r="AE95" s="230">
        <v>0</v>
      </c>
      <c r="AF95" s="311"/>
      <c r="AG95" s="231"/>
      <c r="AH95" s="231"/>
      <c r="AI95" s="231"/>
      <c r="AJ95" s="231"/>
      <c r="AK95" s="231"/>
      <c r="AL95" s="231"/>
      <c r="AM95" s="231"/>
      <c r="AN95" s="231"/>
      <c r="AO95" s="231"/>
      <c r="AP95" s="231"/>
      <c r="AQ95" s="231"/>
      <c r="AR95" s="231"/>
      <c r="AS95" s="231"/>
      <c r="AT95" s="231"/>
      <c r="AU95" s="231"/>
      <c r="AV95" s="231"/>
      <c r="AW95" s="231"/>
      <c r="AX95" s="231"/>
      <c r="AY95" s="231"/>
      <c r="AZ95" s="231"/>
      <c r="BA95" s="231"/>
      <c r="BB95" s="231"/>
      <c r="BC95" s="231"/>
      <c r="BD95" s="231"/>
      <c r="BE95" s="231"/>
      <c r="BF95" s="231" t="str">
        <f>"     " &amp; TEXT(AE95,"#0.00%") &amp; " " &amp; "프로토타입 결과분석 보고서 작성" &amp; "(김주은)" &amp; " " &amp; IF(P95="","",TEXT(P95,"M/D-")) &amp; IF(Q95="","",TEXT(Q95,"M/D")) &amp; " "</f>
        <v xml:space="preserve">     0.00% 프로토타입 결과분석 보고서 작성(김주은) 7/10-7/15 </v>
      </c>
      <c r="BG95" s="231"/>
      <c r="BH95" s="231"/>
    </row>
    <row r="96" spans="1:60">
      <c r="A96" s="274"/>
      <c r="B96" s="274"/>
      <c r="C96" s="274"/>
      <c r="D96" s="275"/>
      <c r="E96" s="276"/>
      <c r="F96" s="276"/>
      <c r="G96" s="276"/>
      <c r="H96" s="276"/>
      <c r="I96" s="276"/>
      <c r="J96" s="276"/>
      <c r="K96" s="276"/>
      <c r="L96" s="276"/>
      <c r="M96" s="276"/>
      <c r="N96" s="276"/>
      <c r="O96" s="276"/>
      <c r="P96" s="277"/>
      <c r="Q96" s="277"/>
      <c r="R96" s="278"/>
      <c r="S96" s="279"/>
      <c r="T96" s="279"/>
      <c r="U96" s="280"/>
      <c r="V96" s="280"/>
      <c r="W96" s="277"/>
      <c r="X96" s="277"/>
      <c r="Y96" s="281"/>
      <c r="Z96" s="282"/>
      <c r="AA96" s="283"/>
      <c r="AB96" s="278"/>
      <c r="AC96" s="284"/>
      <c r="AD96" s="285"/>
      <c r="AE96" s="286"/>
      <c r="AF96" s="287"/>
      <c r="AG96" s="287"/>
      <c r="AH96" s="287"/>
      <c r="AI96" s="287"/>
      <c r="AJ96" s="287"/>
      <c r="AK96" s="287"/>
      <c r="AL96" s="287"/>
      <c r="AM96" s="287"/>
      <c r="AN96" s="287"/>
      <c r="AO96" s="287"/>
      <c r="AP96" s="287"/>
      <c r="AQ96" s="287"/>
      <c r="AR96" s="287"/>
      <c r="AS96" s="287"/>
      <c r="AT96" s="287"/>
      <c r="AU96" s="287"/>
      <c r="AV96" s="287"/>
      <c r="AW96" s="287"/>
      <c r="AX96" s="287"/>
      <c r="AY96" s="287"/>
      <c r="AZ96" s="287"/>
      <c r="BA96" s="287"/>
      <c r="BB96" s="287"/>
      <c r="BC96" s="287"/>
      <c r="BD96" s="287"/>
      <c r="BE96" s="287"/>
      <c r="BF96" s="287"/>
      <c r="BG96" s="287"/>
      <c r="BH96" s="287"/>
    </row>
    <row r="103" spans="1:8" ht="15.6">
      <c r="A103" s="219" t="s">
        <v>1462</v>
      </c>
      <c r="B103" s="288"/>
      <c r="C103" s="288"/>
      <c r="D103" s="288"/>
      <c r="E103" s="288"/>
      <c r="F103" s="288"/>
      <c r="G103" s="288"/>
      <c r="H103" s="288"/>
    </row>
    <row r="104" spans="1:8" ht="15.6">
      <c r="A104" s="219" t="s">
        <v>1473</v>
      </c>
      <c r="B104" s="288"/>
      <c r="C104" s="288"/>
      <c r="D104" s="288"/>
      <c r="E104" s="288"/>
      <c r="F104" s="288"/>
      <c r="G104" s="288"/>
      <c r="H104" s="288"/>
    </row>
    <row r="105" spans="1:8">
      <c r="A105" s="300" t="s">
        <v>1421</v>
      </c>
      <c r="B105" s="288"/>
      <c r="C105" s="288"/>
      <c r="D105" s="288"/>
      <c r="E105" s="288"/>
      <c r="F105" s="288"/>
      <c r="G105" s="288"/>
      <c r="H105" s="288"/>
    </row>
    <row r="106" spans="1:8">
      <c r="A106" s="300" t="s">
        <v>1422</v>
      </c>
      <c r="B106" s="288"/>
      <c r="C106" s="288"/>
      <c r="D106" s="288"/>
      <c r="E106" s="288"/>
      <c r="F106" s="288"/>
      <c r="G106" s="288"/>
      <c r="H106" s="288"/>
    </row>
    <row r="107" spans="1:8" ht="15.6">
      <c r="A107" s="219" t="s">
        <v>1473</v>
      </c>
      <c r="B107" s="288"/>
      <c r="C107" s="288"/>
      <c r="D107" s="288"/>
      <c r="E107" s="288"/>
      <c r="F107" s="288"/>
      <c r="G107" s="288"/>
      <c r="H107" s="288"/>
    </row>
    <row r="108" spans="1:8">
      <c r="A108" s="300" t="s">
        <v>1423</v>
      </c>
      <c r="B108" s="288"/>
      <c r="C108" s="288"/>
      <c r="D108" s="288"/>
      <c r="E108" s="288"/>
      <c r="F108" s="288"/>
      <c r="G108" s="288"/>
      <c r="H108" s="288"/>
    </row>
    <row r="109" spans="1:8">
      <c r="A109" s="301"/>
      <c r="B109" s="289"/>
      <c r="C109" s="289"/>
      <c r="D109" s="289"/>
      <c r="G109" s="288"/>
      <c r="H109" s="288"/>
    </row>
    <row r="110" spans="1:8" ht="10.8" customHeight="1">
      <c r="A110" s="302" t="s">
        <v>1474</v>
      </c>
      <c r="B110" s="289"/>
      <c r="C110" s="289"/>
      <c r="D110" s="289"/>
      <c r="G110" s="288"/>
      <c r="H110" s="288"/>
    </row>
    <row r="111" spans="1:8">
      <c r="A111" s="301"/>
      <c r="B111" s="289"/>
      <c r="C111" s="289"/>
      <c r="D111" s="289"/>
      <c r="G111" s="288"/>
      <c r="H111" s="288"/>
    </row>
    <row r="112" spans="1:8">
      <c r="A112" s="301"/>
      <c r="B112" s="289"/>
      <c r="C112" s="289"/>
      <c r="D112" s="289"/>
      <c r="G112" s="288"/>
      <c r="H112" s="288"/>
    </row>
  </sheetData>
  <sheetProtection formatCells="0" formatColumns="0" formatRows="0" insertColumns="0" insertRows="0" insertHyperlinks="0" deleteColumns="0" deleteRows="0" sort="0" autoFilter="0" pivotTables="0"/>
  <dataConsolidate/>
  <mergeCells count="30">
    <mergeCell ref="D2:F2"/>
    <mergeCell ref="O3:O4"/>
    <mergeCell ref="P3:P4"/>
    <mergeCell ref="Q3:Q4"/>
    <mergeCell ref="S3:S4"/>
    <mergeCell ref="R3:R4"/>
    <mergeCell ref="T3:T4"/>
    <mergeCell ref="W3:W4"/>
    <mergeCell ref="U3:U4"/>
    <mergeCell ref="AD3:AD4"/>
    <mergeCell ref="AC3:AC4"/>
    <mergeCell ref="AB3:AB4"/>
    <mergeCell ref="V3:V4"/>
    <mergeCell ref="X3:X4"/>
    <mergeCell ref="Z3:Z4"/>
    <mergeCell ref="Y3:Y4"/>
    <mergeCell ref="AA3:AA4"/>
    <mergeCell ref="A3:A4"/>
    <mergeCell ref="B3:B4"/>
    <mergeCell ref="C3:C4"/>
    <mergeCell ref="D3:D4"/>
    <mergeCell ref="E3:N4"/>
    <mergeCell ref="AR3:AU3"/>
    <mergeCell ref="AF3:AI3"/>
    <mergeCell ref="AJ3:AM3"/>
    <mergeCell ref="AN3:AQ3"/>
    <mergeCell ref="AE3:AE4"/>
    <mergeCell ref="BD3:BG3"/>
    <mergeCell ref="AV3:AY3"/>
    <mergeCell ref="AZ3:BC3"/>
  </mergeCells>
  <phoneticPr fontId="4" type="noConversion"/>
  <conditionalFormatting sqref="D5:AE95">
    <cfRule type="expression" dxfId="1" priority="2">
      <formula>($B5="G")</formula>
    </cfRule>
    <cfRule type="expression" dxfId="0" priority="1">
      <formula>($AE5=1)</formula>
    </cfRule>
  </conditionalFormatting>
  <hyperlinks>
    <hyperlink ref="AF1" r:id="rId1" display="http://xlworks.net/"/>
  </hyperlinks>
  <pageMargins left="0.19685039370078741" right="0.23622047244094491" top="0.43307086614173229" bottom="0.23622047244094491" header="0.23622047244094491" footer="0.19685039370078741"/>
  <pageSetup paperSize="9" scale="37" orientation="landscape" r:id="rId2"/>
  <headerFooter alignWithMargins="0">
    <oddFooter>&amp;L&amp;"-,보통"&amp;9XLGantt ©http://xlworks.net&amp;C&amp;"-,보통"&amp;9&amp;P/&amp;N</oddFooter>
  </headerFooter>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FF6600"/>
    <pageSetUpPr fitToPage="1"/>
  </sheetPr>
  <dimension ref="A1:W30"/>
  <sheetViews>
    <sheetView showGridLines="0" zoomScaleNormal="100" workbookViewId="0">
      <pane ySplit="1" topLeftCell="A2" activePane="bottomLeft" state="frozenSplit"/>
      <selection pane="bottomLeft" activeCell="D32" sqref="D32"/>
    </sheetView>
  </sheetViews>
  <sheetFormatPr defaultColWidth="10" defaultRowHeight="14.4"/>
  <cols>
    <col min="1" max="1" width="35.3984375" style="57" customWidth="1"/>
    <col min="2" max="2" width="13.19921875" style="55" customWidth="1"/>
    <col min="3" max="3" width="9.8984375" style="59" customWidth="1"/>
    <col min="4" max="4" width="31.3984375" style="59" customWidth="1"/>
    <col min="5" max="6" width="14.09765625" style="59" customWidth="1"/>
    <col min="7" max="7" width="28.3984375" style="59" customWidth="1"/>
    <col min="8" max="9" width="10" style="59"/>
    <col min="10" max="10" width="8.8984375" style="59" bestFit="1" customWidth="1"/>
    <col min="11" max="19" width="10" style="59"/>
    <col min="20" max="22" width="10" style="59" customWidth="1"/>
    <col min="23" max="23" width="10" style="59" hidden="1" customWidth="1"/>
    <col min="24" max="16384" width="10" style="59"/>
  </cols>
  <sheetData>
    <row r="1" spans="1:17" s="4" customFormat="1" ht="36.9" customHeight="1">
      <c r="A1" s="1" t="s">
        <v>1263</v>
      </c>
      <c r="B1" s="2"/>
      <c r="C1" s="2"/>
      <c r="D1" s="2"/>
      <c r="E1" s="2"/>
      <c r="F1" s="2"/>
      <c r="G1" s="2"/>
      <c r="H1" s="2"/>
      <c r="I1" s="2"/>
      <c r="J1" s="2"/>
      <c r="K1" s="2"/>
      <c r="L1" s="169"/>
      <c r="M1" s="170"/>
      <c r="N1" s="170"/>
      <c r="O1" s="3"/>
      <c r="P1" s="3"/>
      <c r="Q1" s="3"/>
    </row>
    <row r="2" spans="1:17" s="7" customFormat="1" ht="13.8">
      <c r="A2" s="5" t="s">
        <v>1111</v>
      </c>
      <c r="B2" s="6"/>
    </row>
    <row r="3" spans="1:17" s="7" customFormat="1" ht="13.8">
      <c r="A3" s="5" t="s">
        <v>1112</v>
      </c>
      <c r="B3" s="6"/>
    </row>
    <row r="4" spans="1:17" s="7" customFormat="1" ht="13.8">
      <c r="A4" s="171"/>
      <c r="B4" s="171"/>
      <c r="C4" s="8"/>
      <c r="D4" s="9"/>
      <c r="E4" s="9"/>
      <c r="F4" s="9"/>
    </row>
    <row r="5" spans="1:17" s="15" customFormat="1" ht="13.8">
      <c r="A5" s="10"/>
      <c r="B5" s="11"/>
      <c r="C5" s="12"/>
      <c r="D5" s="13"/>
      <c r="E5" s="14"/>
      <c r="F5" s="14"/>
      <c r="G5" s="14"/>
    </row>
    <row r="6" spans="1:17" s="15" customFormat="1" ht="13.8">
      <c r="A6" s="16" t="s">
        <v>1113</v>
      </c>
      <c r="B6" s="17">
        <v>338</v>
      </c>
      <c r="C6" s="15" t="s">
        <v>0</v>
      </c>
      <c r="D6" s="168" t="s">
        <v>1114</v>
      </c>
      <c r="E6" s="168"/>
      <c r="F6" s="168"/>
      <c r="G6" s="168"/>
    </row>
    <row r="7" spans="1:17" s="15" customFormat="1" ht="13.8">
      <c r="A7" s="18"/>
      <c r="B7" s="19"/>
      <c r="C7" s="20"/>
      <c r="D7" s="21"/>
      <c r="E7" s="21"/>
      <c r="F7" s="21"/>
      <c r="G7" s="21"/>
    </row>
    <row r="8" spans="1:17" s="15" customFormat="1" ht="12.75" customHeight="1">
      <c r="A8" s="22"/>
      <c r="B8" s="23"/>
      <c r="D8" s="24"/>
      <c r="E8" s="24"/>
      <c r="F8" s="24"/>
      <c r="G8" s="24"/>
      <c r="J8" s="25"/>
    </row>
    <row r="9" spans="1:17" s="15" customFormat="1" ht="13.8">
      <c r="A9" s="16" t="s">
        <v>1115</v>
      </c>
      <c r="B9" s="17">
        <v>198</v>
      </c>
      <c r="C9" s="15" t="s">
        <v>0</v>
      </c>
      <c r="D9" s="167" t="s">
        <v>1116</v>
      </c>
      <c r="E9" s="167"/>
      <c r="F9" s="167"/>
      <c r="G9" s="167"/>
    </row>
    <row r="10" spans="1:17" s="15" customFormat="1" ht="13.8">
      <c r="A10" s="26"/>
      <c r="B10" s="19"/>
      <c r="C10" s="20"/>
      <c r="D10" s="27"/>
      <c r="E10" s="27"/>
      <c r="F10" s="27"/>
      <c r="G10" s="27"/>
    </row>
    <row r="11" spans="1:17" s="15" customFormat="1" ht="13.5" customHeight="1">
      <c r="A11" s="28"/>
      <c r="B11" s="23"/>
      <c r="D11" s="24"/>
      <c r="E11" s="24"/>
      <c r="F11" s="24"/>
      <c r="G11" s="24"/>
    </row>
    <row r="12" spans="1:17" s="15" customFormat="1" ht="12.75" customHeight="1">
      <c r="A12" s="29" t="s">
        <v>1251</v>
      </c>
      <c r="B12" s="17">
        <v>197.8</v>
      </c>
      <c r="C12" s="15" t="s">
        <v>0</v>
      </c>
      <c r="D12" s="172" t="s">
        <v>1254</v>
      </c>
      <c r="E12" s="167"/>
      <c r="F12" s="167"/>
      <c r="G12" s="167"/>
    </row>
    <row r="13" spans="1:17" s="32" customFormat="1" ht="13.8">
      <c r="A13" s="30"/>
      <c r="B13" s="19"/>
      <c r="C13" s="31"/>
      <c r="D13" s="27"/>
      <c r="E13" s="27"/>
      <c r="F13" s="27"/>
      <c r="G13" s="27"/>
      <c r="K13" s="33"/>
    </row>
    <row r="14" spans="1:17" s="32" customFormat="1" ht="14.25" customHeight="1">
      <c r="A14" s="28"/>
      <c r="B14" s="34"/>
      <c r="C14" s="35"/>
      <c r="D14" s="24"/>
      <c r="E14" s="24"/>
      <c r="F14" s="24"/>
      <c r="G14" s="24"/>
    </row>
    <row r="15" spans="1:17" s="15" customFormat="1" ht="12.75" customHeight="1">
      <c r="A15" s="29" t="s">
        <v>1256</v>
      </c>
      <c r="B15" s="17"/>
      <c r="C15" s="15" t="s">
        <v>0</v>
      </c>
      <c r="D15" s="167" t="s">
        <v>1117</v>
      </c>
      <c r="E15" s="167"/>
      <c r="F15" s="167"/>
      <c r="G15" s="167"/>
    </row>
    <row r="16" spans="1:17" s="15" customFormat="1" ht="13.8">
      <c r="A16" s="30"/>
      <c r="B16" s="36"/>
      <c r="C16" s="37"/>
      <c r="D16" s="27"/>
      <c r="E16" s="27"/>
      <c r="F16" s="27"/>
      <c r="G16" s="27"/>
    </row>
    <row r="17" spans="1:7" s="32" customFormat="1" ht="12.75" customHeight="1">
      <c r="A17" s="38"/>
      <c r="B17" s="34"/>
      <c r="C17" s="35"/>
      <c r="D17" s="24"/>
      <c r="E17" s="24"/>
      <c r="F17" s="24"/>
      <c r="G17" s="24"/>
    </row>
    <row r="18" spans="1:7" s="15" customFormat="1" ht="13.8">
      <c r="A18" s="16" t="s">
        <v>1118</v>
      </c>
      <c r="B18" s="39">
        <v>0.58579881656804733</v>
      </c>
      <c r="D18" s="167" t="s">
        <v>1119</v>
      </c>
      <c r="E18" s="167"/>
      <c r="F18" s="167"/>
      <c r="G18" s="167"/>
    </row>
    <row r="19" spans="1:7" s="15" customFormat="1" ht="13.8">
      <c r="A19" s="40"/>
      <c r="B19" s="36"/>
      <c r="C19" s="37"/>
      <c r="D19" s="27"/>
      <c r="E19" s="27"/>
      <c r="F19" s="27"/>
      <c r="G19" s="27"/>
    </row>
    <row r="20" spans="1:7" s="15" customFormat="1" ht="12.75" customHeight="1">
      <c r="A20" s="41"/>
      <c r="B20" s="11"/>
      <c r="C20" s="12"/>
      <c r="D20" s="24"/>
      <c r="E20" s="24"/>
      <c r="F20" s="24"/>
      <c r="G20" s="24"/>
    </row>
    <row r="21" spans="1:7" s="15" customFormat="1" ht="13.8">
      <c r="A21" s="16" t="s">
        <v>1120</v>
      </c>
      <c r="B21" s="39">
        <v>0.58520710059171599</v>
      </c>
      <c r="D21" s="167" t="s">
        <v>1121</v>
      </c>
      <c r="E21" s="167"/>
      <c r="F21" s="167"/>
      <c r="G21" s="167"/>
    </row>
    <row r="22" spans="1:7" s="15" customFormat="1" ht="13.8">
      <c r="A22" s="42"/>
      <c r="B22" s="43"/>
      <c r="C22" s="44"/>
      <c r="D22" s="27"/>
      <c r="E22" s="27"/>
      <c r="F22" s="27"/>
      <c r="G22" s="27"/>
    </row>
    <row r="23" spans="1:7" s="15" customFormat="1" ht="13.5" customHeight="1">
      <c r="A23" s="45"/>
      <c r="B23" s="46"/>
      <c r="C23" s="47"/>
      <c r="D23" s="48"/>
      <c r="E23" s="48"/>
      <c r="F23" s="48"/>
      <c r="G23" s="48"/>
    </row>
    <row r="24" spans="1:7" s="15" customFormat="1" ht="13.8">
      <c r="A24" s="16" t="s">
        <v>1122</v>
      </c>
      <c r="B24" s="49">
        <f>ACTUAL_RATE-PLANNED_RATE</f>
        <v>-5.9171597633134176E-4</v>
      </c>
      <c r="D24" s="168" t="s">
        <v>1123</v>
      </c>
      <c r="E24" s="168"/>
      <c r="F24" s="168"/>
      <c r="G24" s="168"/>
    </row>
    <row r="25" spans="1:7" s="15" customFormat="1" ht="13.8">
      <c r="A25" s="50"/>
      <c r="B25" s="51"/>
      <c r="C25" s="52"/>
      <c r="D25" s="53"/>
      <c r="E25" s="53"/>
      <c r="F25" s="53"/>
      <c r="G25" s="53"/>
    </row>
    <row r="26" spans="1:7" s="56" customFormat="1">
      <c r="A26" s="54"/>
      <c r="B26" s="55"/>
    </row>
    <row r="27" spans="1:7">
      <c r="B27" s="58"/>
      <c r="G27" s="57"/>
    </row>
    <row r="28" spans="1:7">
      <c r="B28" s="60"/>
    </row>
    <row r="29" spans="1:7">
      <c r="B29" s="60"/>
    </row>
    <row r="30" spans="1:7">
      <c r="B30" s="61"/>
    </row>
  </sheetData>
  <mergeCells count="9">
    <mergeCell ref="D18:G18"/>
    <mergeCell ref="D21:G21"/>
    <mergeCell ref="D24:G24"/>
    <mergeCell ref="L1:N1"/>
    <mergeCell ref="A4:B4"/>
    <mergeCell ref="D6:G6"/>
    <mergeCell ref="D9:G9"/>
    <mergeCell ref="D12:G12"/>
    <mergeCell ref="D15:G15"/>
  </mergeCells>
  <phoneticPr fontId="2" type="noConversion"/>
  <conditionalFormatting sqref="J1">
    <cfRule type="expression" dxfId="8" priority="1">
      <formula>$J1="Yes"</formula>
    </cfRule>
  </conditionalFormatting>
  <pageMargins left="0.70866141732283472" right="0.70866141732283472" top="0.74803149606299213" bottom="0.74803149606299213" header="0.31496062992125984" footer="0.31496062992125984"/>
  <pageSetup paperSize="9" scale="32"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198CFF"/>
  </sheetPr>
  <dimension ref="B1:L29"/>
  <sheetViews>
    <sheetView showGridLines="0" zoomScale="90" zoomScaleNormal="90" workbookViewId="0">
      <pane ySplit="1" topLeftCell="A2" activePane="bottomLeft" state="frozen"/>
      <selection pane="bottomLeft"/>
    </sheetView>
  </sheetViews>
  <sheetFormatPr defaultColWidth="9.09765625" defaultRowHeight="14.4"/>
  <cols>
    <col min="1" max="1" width="1.59765625" style="153" customWidth="1"/>
    <col min="2" max="3" width="10.59765625" style="153" bestFit="1" customWidth="1"/>
    <col min="4" max="4" width="9.09765625" style="153"/>
    <col min="5" max="5" width="10.59765625" style="153" customWidth="1"/>
    <col min="6" max="6" width="9.09765625" style="153"/>
    <col min="7" max="12" width="9.09765625" style="125"/>
    <col min="13" max="16384" width="9.09765625" style="153"/>
  </cols>
  <sheetData>
    <row r="1" spans="2:12" ht="36.9" customHeight="1">
      <c r="B1" s="62" t="s">
        <v>1276</v>
      </c>
    </row>
    <row r="2" spans="2:12">
      <c r="B2" s="153" t="s">
        <v>1277</v>
      </c>
    </row>
    <row r="3" spans="2:12">
      <c r="B3" s="153" t="s">
        <v>1278</v>
      </c>
    </row>
    <row r="6" spans="2:12" ht="43.2">
      <c r="B6" s="63" t="s">
        <v>577</v>
      </c>
      <c r="C6" s="123" t="s">
        <v>578</v>
      </c>
      <c r="D6" s="123" t="s">
        <v>1267</v>
      </c>
      <c r="E6" s="123" t="s">
        <v>1268</v>
      </c>
      <c r="F6" s="123" t="s">
        <v>1269</v>
      </c>
      <c r="G6" s="154" t="s">
        <v>1270</v>
      </c>
      <c r="H6" s="154" t="s">
        <v>1271</v>
      </c>
      <c r="I6" s="154" t="s">
        <v>1272</v>
      </c>
      <c r="J6" s="154" t="s">
        <v>1273</v>
      </c>
      <c r="K6" s="154" t="s">
        <v>1274</v>
      </c>
      <c r="L6" s="155" t="s">
        <v>1275</v>
      </c>
    </row>
    <row r="7" spans="2:12">
      <c r="B7" s="139">
        <v>43696</v>
      </c>
      <c r="C7" s="139">
        <v>43701</v>
      </c>
      <c r="D7" s="140">
        <v>4</v>
      </c>
      <c r="E7" s="140">
        <f>D7</f>
        <v>4</v>
      </c>
      <c r="F7" s="156">
        <f t="shared" ref="F7:F28" si="0">E7/$D$29</f>
        <v>1.444043321299639E-2</v>
      </c>
      <c r="G7" s="141">
        <v>4</v>
      </c>
      <c r="H7" s="141">
        <f>G7</f>
        <v>4</v>
      </c>
      <c r="I7" s="156">
        <f t="shared" ref="I7:I12" si="1">H7/$D$29</f>
        <v>1.444043321299639E-2</v>
      </c>
      <c r="J7" s="141"/>
      <c r="K7" s="141">
        <f>J7</f>
        <v>0</v>
      </c>
      <c r="L7" s="156">
        <f t="shared" ref="L7:L12" si="2">K7/$D$29</f>
        <v>0</v>
      </c>
    </row>
    <row r="8" spans="2:12">
      <c r="B8" s="142">
        <v>43702</v>
      </c>
      <c r="C8" s="142">
        <v>43708</v>
      </c>
      <c r="D8" s="143">
        <v>13</v>
      </c>
      <c r="E8" s="143">
        <f t="shared" ref="E8:E28" si="3">E7+D8</f>
        <v>17</v>
      </c>
      <c r="F8" s="157">
        <f t="shared" si="0"/>
        <v>6.1371841155234655E-2</v>
      </c>
      <c r="G8" s="144">
        <v>11</v>
      </c>
      <c r="H8" s="144">
        <f>H7+G8</f>
        <v>15</v>
      </c>
      <c r="I8" s="157">
        <f t="shared" si="1"/>
        <v>5.4151624548736461E-2</v>
      </c>
      <c r="J8" s="144"/>
      <c r="K8" s="144">
        <f>K7+J8</f>
        <v>0</v>
      </c>
      <c r="L8" s="157">
        <f t="shared" si="2"/>
        <v>0</v>
      </c>
    </row>
    <row r="9" spans="2:12">
      <c r="B9" s="142">
        <v>43709</v>
      </c>
      <c r="C9" s="142">
        <v>43715</v>
      </c>
      <c r="D9" s="143">
        <v>15</v>
      </c>
      <c r="E9" s="143">
        <f t="shared" si="3"/>
        <v>32</v>
      </c>
      <c r="F9" s="157">
        <f t="shared" si="0"/>
        <v>0.11552346570397112</v>
      </c>
      <c r="G9" s="144">
        <v>11.6</v>
      </c>
      <c r="H9" s="144">
        <f>H8+G9</f>
        <v>26.6</v>
      </c>
      <c r="I9" s="157">
        <f t="shared" si="1"/>
        <v>9.6028880866425997E-2</v>
      </c>
      <c r="J9" s="144"/>
      <c r="K9" s="144">
        <f>K8+J9</f>
        <v>0</v>
      </c>
      <c r="L9" s="157">
        <f t="shared" si="2"/>
        <v>0</v>
      </c>
    </row>
    <row r="10" spans="2:12">
      <c r="B10" s="142">
        <v>43716</v>
      </c>
      <c r="C10" s="142">
        <v>43722</v>
      </c>
      <c r="D10" s="143">
        <v>6</v>
      </c>
      <c r="E10" s="143">
        <f t="shared" si="3"/>
        <v>38</v>
      </c>
      <c r="F10" s="157">
        <f t="shared" si="0"/>
        <v>0.13718411552346571</v>
      </c>
      <c r="G10" s="144">
        <v>6</v>
      </c>
      <c r="H10" s="144">
        <f>H9+G10</f>
        <v>32.6</v>
      </c>
      <c r="I10" s="157">
        <f t="shared" si="1"/>
        <v>0.11768953068592058</v>
      </c>
      <c r="J10" s="144"/>
      <c r="K10" s="144">
        <f>K9+J10</f>
        <v>0</v>
      </c>
      <c r="L10" s="157">
        <f t="shared" si="2"/>
        <v>0</v>
      </c>
    </row>
    <row r="11" spans="2:12">
      <c r="B11" s="142">
        <v>43723</v>
      </c>
      <c r="C11" s="142">
        <v>43729</v>
      </c>
      <c r="D11" s="143">
        <v>9</v>
      </c>
      <c r="E11" s="143">
        <f t="shared" si="3"/>
        <v>47</v>
      </c>
      <c r="F11" s="157">
        <f t="shared" si="0"/>
        <v>0.16967509025270758</v>
      </c>
      <c r="G11" s="144">
        <v>3</v>
      </c>
      <c r="H11" s="144">
        <f>H10+G11</f>
        <v>35.6</v>
      </c>
      <c r="I11" s="157">
        <f t="shared" si="1"/>
        <v>0.12851985559566786</v>
      </c>
      <c r="J11" s="144"/>
      <c r="K11" s="144">
        <f>K10+J11</f>
        <v>0</v>
      </c>
      <c r="L11" s="157">
        <f t="shared" si="2"/>
        <v>0</v>
      </c>
    </row>
    <row r="12" spans="2:12">
      <c r="B12" s="142">
        <v>43730</v>
      </c>
      <c r="C12" s="142">
        <v>43736</v>
      </c>
      <c r="D12" s="143">
        <v>14</v>
      </c>
      <c r="E12" s="143">
        <f t="shared" si="3"/>
        <v>61</v>
      </c>
      <c r="F12" s="157">
        <f t="shared" si="0"/>
        <v>0.22021660649819494</v>
      </c>
      <c r="G12" s="144">
        <v>0</v>
      </c>
      <c r="H12" s="144">
        <f>H11+G12</f>
        <v>35.6</v>
      </c>
      <c r="I12" s="157">
        <f t="shared" si="1"/>
        <v>0.12851985559566786</v>
      </c>
      <c r="J12" s="144"/>
      <c r="K12" s="144">
        <f>K11+J12</f>
        <v>0</v>
      </c>
      <c r="L12" s="157">
        <f t="shared" si="2"/>
        <v>0</v>
      </c>
    </row>
    <row r="13" spans="2:12">
      <c r="B13" s="142">
        <v>43737</v>
      </c>
      <c r="C13" s="142">
        <v>43743</v>
      </c>
      <c r="D13" s="143">
        <v>10</v>
      </c>
      <c r="E13" s="143">
        <f t="shared" si="3"/>
        <v>71</v>
      </c>
      <c r="F13" s="157">
        <f t="shared" si="0"/>
        <v>0.2563176895306859</v>
      </c>
      <c r="G13" s="144"/>
      <c r="H13" s="144"/>
      <c r="I13" s="144"/>
      <c r="J13" s="144"/>
      <c r="K13" s="144"/>
      <c r="L13" s="144"/>
    </row>
    <row r="14" spans="2:12">
      <c r="B14" s="142">
        <v>43744</v>
      </c>
      <c r="C14" s="142">
        <v>43750</v>
      </c>
      <c r="D14" s="143">
        <v>5</v>
      </c>
      <c r="E14" s="143">
        <f t="shared" si="3"/>
        <v>76</v>
      </c>
      <c r="F14" s="157">
        <f t="shared" si="0"/>
        <v>0.27436823104693142</v>
      </c>
      <c r="G14" s="144"/>
      <c r="H14" s="144"/>
      <c r="I14" s="144"/>
      <c r="J14" s="144"/>
      <c r="K14" s="144"/>
      <c r="L14" s="144"/>
    </row>
    <row r="15" spans="2:12">
      <c r="B15" s="142">
        <v>43751</v>
      </c>
      <c r="C15" s="142">
        <v>43757</v>
      </c>
      <c r="D15" s="143">
        <v>12</v>
      </c>
      <c r="E15" s="143">
        <f t="shared" si="3"/>
        <v>88</v>
      </c>
      <c r="F15" s="157">
        <f t="shared" si="0"/>
        <v>0.3176895306859206</v>
      </c>
      <c r="G15" s="144"/>
      <c r="H15" s="144"/>
      <c r="I15" s="144"/>
      <c r="J15" s="144"/>
      <c r="K15" s="144"/>
      <c r="L15" s="144"/>
    </row>
    <row r="16" spans="2:12">
      <c r="B16" s="142">
        <v>43758</v>
      </c>
      <c r="C16" s="142">
        <v>43764</v>
      </c>
      <c r="D16" s="143">
        <v>17</v>
      </c>
      <c r="E16" s="143">
        <f t="shared" si="3"/>
        <v>105</v>
      </c>
      <c r="F16" s="157">
        <f t="shared" si="0"/>
        <v>0.37906137184115524</v>
      </c>
      <c r="G16" s="144"/>
      <c r="H16" s="144"/>
      <c r="I16" s="144"/>
      <c r="J16" s="144"/>
      <c r="K16" s="144"/>
      <c r="L16" s="144"/>
    </row>
    <row r="17" spans="2:12">
      <c r="B17" s="142">
        <v>43765</v>
      </c>
      <c r="C17" s="142">
        <v>43771</v>
      </c>
      <c r="D17" s="143">
        <v>18</v>
      </c>
      <c r="E17" s="143">
        <f t="shared" si="3"/>
        <v>123</v>
      </c>
      <c r="F17" s="157">
        <f t="shared" si="0"/>
        <v>0.44404332129963897</v>
      </c>
      <c r="G17" s="144"/>
      <c r="H17" s="144"/>
      <c r="I17" s="144"/>
      <c r="J17" s="144"/>
      <c r="K17" s="144"/>
      <c r="L17" s="144"/>
    </row>
    <row r="18" spans="2:12">
      <c r="B18" s="142">
        <v>43772</v>
      </c>
      <c r="C18" s="142">
        <v>43778</v>
      </c>
      <c r="D18" s="143">
        <v>16</v>
      </c>
      <c r="E18" s="143">
        <f t="shared" si="3"/>
        <v>139</v>
      </c>
      <c r="F18" s="157">
        <f t="shared" si="0"/>
        <v>0.50180505415162457</v>
      </c>
      <c r="G18" s="144"/>
      <c r="H18" s="144"/>
      <c r="I18" s="144"/>
      <c r="J18" s="144"/>
      <c r="K18" s="144"/>
      <c r="L18" s="144"/>
    </row>
    <row r="19" spans="2:12">
      <c r="B19" s="142">
        <v>43779</v>
      </c>
      <c r="C19" s="142">
        <v>43785</v>
      </c>
      <c r="D19" s="143">
        <v>15</v>
      </c>
      <c r="E19" s="143">
        <f t="shared" si="3"/>
        <v>154</v>
      </c>
      <c r="F19" s="157">
        <f t="shared" si="0"/>
        <v>0.55595667870036103</v>
      </c>
      <c r="G19" s="144"/>
      <c r="H19" s="144"/>
      <c r="I19" s="144"/>
      <c r="J19" s="144"/>
      <c r="K19" s="144"/>
      <c r="L19" s="144"/>
    </row>
    <row r="20" spans="2:12">
      <c r="B20" s="142">
        <v>43786</v>
      </c>
      <c r="C20" s="142">
        <v>43792</v>
      </c>
      <c r="D20" s="143">
        <v>18</v>
      </c>
      <c r="E20" s="143">
        <f t="shared" si="3"/>
        <v>172</v>
      </c>
      <c r="F20" s="157">
        <f t="shared" si="0"/>
        <v>0.62093862815884482</v>
      </c>
      <c r="G20" s="144"/>
      <c r="H20" s="144"/>
      <c r="I20" s="144"/>
      <c r="J20" s="144"/>
      <c r="K20" s="144"/>
      <c r="L20" s="144"/>
    </row>
    <row r="21" spans="2:12">
      <c r="B21" s="142">
        <v>43793</v>
      </c>
      <c r="C21" s="142">
        <v>43799</v>
      </c>
      <c r="D21" s="143">
        <v>22</v>
      </c>
      <c r="E21" s="143">
        <f t="shared" si="3"/>
        <v>194</v>
      </c>
      <c r="F21" s="157">
        <f t="shared" si="0"/>
        <v>0.70036101083032487</v>
      </c>
      <c r="G21" s="144"/>
      <c r="H21" s="144"/>
      <c r="I21" s="144"/>
      <c r="J21" s="144"/>
      <c r="K21" s="144"/>
      <c r="L21" s="144"/>
    </row>
    <row r="22" spans="2:12">
      <c r="B22" s="142">
        <v>43800</v>
      </c>
      <c r="C22" s="142">
        <v>43806</v>
      </c>
      <c r="D22" s="143">
        <v>25</v>
      </c>
      <c r="E22" s="143">
        <f t="shared" si="3"/>
        <v>219</v>
      </c>
      <c r="F22" s="157">
        <f t="shared" si="0"/>
        <v>0.79061371841155237</v>
      </c>
      <c r="G22" s="144"/>
      <c r="H22" s="144"/>
      <c r="I22" s="144"/>
      <c r="J22" s="144"/>
      <c r="K22" s="144"/>
      <c r="L22" s="144"/>
    </row>
    <row r="23" spans="2:12">
      <c r="B23" s="142">
        <v>43807</v>
      </c>
      <c r="C23" s="142">
        <v>43813</v>
      </c>
      <c r="D23" s="143">
        <v>25</v>
      </c>
      <c r="E23" s="143">
        <f t="shared" si="3"/>
        <v>244</v>
      </c>
      <c r="F23" s="157">
        <f t="shared" si="0"/>
        <v>0.88086642599277976</v>
      </c>
      <c r="G23" s="144"/>
      <c r="H23" s="144"/>
      <c r="I23" s="144"/>
      <c r="J23" s="144"/>
      <c r="K23" s="144"/>
      <c r="L23" s="144"/>
    </row>
    <row r="24" spans="2:12">
      <c r="B24" s="142">
        <v>43814</v>
      </c>
      <c r="C24" s="142">
        <v>43820</v>
      </c>
      <c r="D24" s="143">
        <v>5</v>
      </c>
      <c r="E24" s="143">
        <f t="shared" si="3"/>
        <v>249</v>
      </c>
      <c r="F24" s="157">
        <f t="shared" si="0"/>
        <v>0.89891696750902528</v>
      </c>
      <c r="G24" s="144"/>
      <c r="H24" s="144"/>
      <c r="I24" s="144"/>
      <c r="J24" s="144"/>
      <c r="K24" s="144"/>
      <c r="L24" s="144"/>
    </row>
    <row r="25" spans="2:12">
      <c r="B25" s="142">
        <v>43821</v>
      </c>
      <c r="C25" s="142">
        <v>43827</v>
      </c>
      <c r="D25" s="143">
        <v>12</v>
      </c>
      <c r="E25" s="143">
        <f t="shared" si="3"/>
        <v>261</v>
      </c>
      <c r="F25" s="157">
        <f t="shared" si="0"/>
        <v>0.9422382671480144</v>
      </c>
      <c r="G25" s="144"/>
      <c r="H25" s="144"/>
      <c r="I25" s="144"/>
      <c r="J25" s="144"/>
      <c r="K25" s="144"/>
      <c r="L25" s="144"/>
    </row>
    <row r="26" spans="2:12">
      <c r="B26" s="142">
        <v>43828</v>
      </c>
      <c r="C26" s="142">
        <v>43834</v>
      </c>
      <c r="D26" s="143">
        <v>4</v>
      </c>
      <c r="E26" s="143">
        <f t="shared" si="3"/>
        <v>265</v>
      </c>
      <c r="F26" s="157">
        <f t="shared" si="0"/>
        <v>0.95667870036101088</v>
      </c>
      <c r="G26" s="144"/>
      <c r="H26" s="144"/>
      <c r="I26" s="144"/>
      <c r="J26" s="144"/>
      <c r="K26" s="144"/>
      <c r="L26" s="144"/>
    </row>
    <row r="27" spans="2:12">
      <c r="B27" s="142">
        <v>43835</v>
      </c>
      <c r="C27" s="142">
        <v>43841</v>
      </c>
      <c r="D27" s="143">
        <v>5</v>
      </c>
      <c r="E27" s="143">
        <f t="shared" si="3"/>
        <v>270</v>
      </c>
      <c r="F27" s="157">
        <f t="shared" si="0"/>
        <v>0.97472924187725629</v>
      </c>
      <c r="G27" s="144"/>
      <c r="H27" s="144"/>
      <c r="I27" s="144"/>
      <c r="J27" s="144"/>
      <c r="K27" s="144"/>
      <c r="L27" s="144"/>
    </row>
    <row r="28" spans="2:12">
      <c r="B28" s="142">
        <v>43842</v>
      </c>
      <c r="C28" s="142">
        <v>43848</v>
      </c>
      <c r="D28" s="143">
        <v>7</v>
      </c>
      <c r="E28" s="143">
        <f t="shared" si="3"/>
        <v>277</v>
      </c>
      <c r="F28" s="157">
        <f t="shared" si="0"/>
        <v>1</v>
      </c>
      <c r="G28" s="144"/>
      <c r="H28" s="144"/>
      <c r="I28" s="144"/>
      <c r="J28" s="144"/>
      <c r="K28" s="144"/>
      <c r="L28" s="144"/>
    </row>
    <row r="29" spans="2:12">
      <c r="C29" s="153" t="s">
        <v>1227</v>
      </c>
      <c r="D29" s="153">
        <f>SUM(D7:D28)</f>
        <v>277</v>
      </c>
      <c r="G29" s="125">
        <f>SUM(G7:G28)</f>
        <v>35.6</v>
      </c>
      <c r="J29" s="125">
        <f>SUM(J7:J28)</f>
        <v>0</v>
      </c>
    </row>
  </sheetData>
  <dataConsolidate/>
  <phoneticPr fontId="2" type="noConversion"/>
  <pageMargins left="0.7" right="0.7" top="0.75" bottom="0.75" header="0.3" footer="0.3"/>
  <pageSetup paperSize="9" orientation="portrait" verticalDpi="30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FFC000"/>
  </sheetPr>
  <dimension ref="A1:J305"/>
  <sheetViews>
    <sheetView showGridLines="0" zoomScale="85" zoomScaleNormal="85" workbookViewId="0">
      <pane ySplit="1" topLeftCell="A2" activePane="bottomLeft" state="frozenSplit"/>
      <selection pane="bottomLeft" activeCell="E24" sqref="E24"/>
    </sheetView>
  </sheetViews>
  <sheetFormatPr defaultColWidth="10" defaultRowHeight="14.4"/>
  <cols>
    <col min="1" max="1" width="31.59765625" style="68" customWidth="1"/>
    <col min="2" max="2" width="14.5" style="68" customWidth="1"/>
    <col min="3" max="3" width="7.59765625" style="68" customWidth="1"/>
    <col min="4" max="4" width="21.5" style="68" customWidth="1"/>
    <col min="5" max="5" width="14.09765625" style="68" customWidth="1"/>
    <col min="6" max="6" width="10" style="68"/>
    <col min="7" max="7" width="24.19921875" style="68" customWidth="1"/>
    <col min="8" max="8" width="18.3984375" style="68" bestFit="1" customWidth="1"/>
    <col min="9" max="9" width="11.09765625" style="68" bestFit="1" customWidth="1"/>
    <col min="10" max="10" width="27.3984375" style="68" bestFit="1" customWidth="1"/>
    <col min="11" max="19" width="10" style="68"/>
    <col min="20" max="23" width="10" style="68" customWidth="1"/>
    <col min="24" max="16384" width="10" style="68"/>
  </cols>
  <sheetData>
    <row r="1" spans="1:9" s="64" customFormat="1" ht="36.9" customHeight="1">
      <c r="A1" s="1" t="s">
        <v>1137</v>
      </c>
      <c r="B1" s="1"/>
      <c r="C1" s="1"/>
      <c r="D1" s="1"/>
      <c r="E1" s="1"/>
      <c r="F1" s="1"/>
      <c r="G1" s="1"/>
      <c r="H1" s="1"/>
    </row>
    <row r="2" spans="1:9" s="65" customFormat="1" ht="78.75" customHeight="1">
      <c r="A2" s="173" t="s">
        <v>1138</v>
      </c>
      <c r="B2" s="173"/>
      <c r="C2" s="173"/>
      <c r="D2" s="173"/>
      <c r="E2" s="173"/>
      <c r="F2" s="173"/>
      <c r="G2" s="173"/>
      <c r="H2" s="173"/>
    </row>
    <row r="3" spans="1:9" s="65" customFormat="1" ht="24.75" customHeight="1">
      <c r="A3" s="174" t="s">
        <v>1139</v>
      </c>
      <c r="B3" s="174"/>
      <c r="D3" s="174" t="s">
        <v>1140</v>
      </c>
      <c r="E3" s="174"/>
      <c r="G3" s="174" t="s">
        <v>1141</v>
      </c>
      <c r="H3" s="174"/>
    </row>
    <row r="4" spans="1:9" s="67" customFormat="1" ht="19.5" customHeight="1">
      <c r="A4" s="66" t="s">
        <v>1142</v>
      </c>
      <c r="B4" s="66" t="s">
        <v>1143</v>
      </c>
      <c r="D4" s="66" t="s">
        <v>1142</v>
      </c>
      <c r="E4" s="66" t="s">
        <v>1143</v>
      </c>
      <c r="G4" s="66" t="s">
        <v>1142</v>
      </c>
      <c r="H4" s="66" t="s">
        <v>1143</v>
      </c>
    </row>
    <row r="5" spans="1:9" s="147" customFormat="1" ht="17.399999999999999">
      <c r="A5" s="145" t="s">
        <v>1230</v>
      </c>
      <c r="B5" s="146">
        <v>43466</v>
      </c>
      <c r="C5" s="147" t="str">
        <f t="shared" ref="C5:C68" si="0">IF(B5&gt;0,TEXT(B5,"(aaa)"),"")</f>
        <v>(화)</v>
      </c>
      <c r="D5" s="148"/>
      <c r="E5" s="149"/>
      <c r="F5" s="147" t="str">
        <f t="shared" ref="F5:F68" si="1">IF(E5&gt;0,TEXT(E5,"(aaa)"),"")</f>
        <v/>
      </c>
      <c r="G5" s="148"/>
      <c r="H5" s="149"/>
      <c r="I5" s="147" t="str">
        <f t="shared" ref="I5:I68" si="2">IF(H5&gt;0,TEXT(H5,"(aaa)"),"")</f>
        <v/>
      </c>
    </row>
    <row r="6" spans="1:9" s="147" customFormat="1" ht="17.399999999999999">
      <c r="A6" s="145" t="s">
        <v>1231</v>
      </c>
      <c r="B6" s="146">
        <v>43500</v>
      </c>
      <c r="C6" s="147" t="str">
        <f t="shared" si="0"/>
        <v>(월)</v>
      </c>
      <c r="D6" s="148"/>
      <c r="E6" s="149"/>
      <c r="F6" s="147" t="str">
        <f t="shared" si="1"/>
        <v/>
      </c>
      <c r="G6" s="148"/>
      <c r="H6" s="149"/>
      <c r="I6" s="147" t="str">
        <f t="shared" si="2"/>
        <v/>
      </c>
    </row>
    <row r="7" spans="1:9" s="147" customFormat="1" ht="17.399999999999999">
      <c r="A7" s="145" t="s">
        <v>1232</v>
      </c>
      <c r="B7" s="146">
        <v>43501</v>
      </c>
      <c r="C7" s="147" t="str">
        <f t="shared" si="0"/>
        <v>(화)</v>
      </c>
      <c r="D7" s="148"/>
      <c r="E7" s="149"/>
      <c r="F7" s="147" t="str">
        <f t="shared" si="1"/>
        <v/>
      </c>
      <c r="G7" s="148"/>
      <c r="H7" s="149"/>
      <c r="I7" s="147" t="str">
        <f t="shared" si="2"/>
        <v/>
      </c>
    </row>
    <row r="8" spans="1:9" s="147" customFormat="1" ht="17.399999999999999">
      <c r="A8" s="145" t="s">
        <v>1231</v>
      </c>
      <c r="B8" s="146">
        <v>43502</v>
      </c>
      <c r="C8" s="147" t="str">
        <f t="shared" si="0"/>
        <v>(수)</v>
      </c>
      <c r="D8" s="148"/>
      <c r="E8" s="149"/>
      <c r="F8" s="147" t="str">
        <f t="shared" si="1"/>
        <v/>
      </c>
      <c r="G8" s="148"/>
      <c r="H8" s="149"/>
      <c r="I8" s="147" t="str">
        <f t="shared" si="2"/>
        <v/>
      </c>
    </row>
    <row r="9" spans="1:9" s="147" customFormat="1" ht="17.399999999999999">
      <c r="A9" s="145" t="s">
        <v>1233</v>
      </c>
      <c r="B9" s="146">
        <v>43525</v>
      </c>
      <c r="C9" s="147" t="str">
        <f t="shared" si="0"/>
        <v>(금)</v>
      </c>
      <c r="D9" s="148"/>
      <c r="E9" s="149"/>
      <c r="F9" s="147" t="str">
        <f t="shared" si="1"/>
        <v/>
      </c>
      <c r="G9" s="148"/>
      <c r="H9" s="149"/>
      <c r="I9" s="147" t="str">
        <f t="shared" si="2"/>
        <v/>
      </c>
    </row>
    <row r="10" spans="1:9" s="147" customFormat="1" ht="17.399999999999999">
      <c r="A10" s="145" t="s">
        <v>1234</v>
      </c>
      <c r="B10" s="146">
        <v>43591</v>
      </c>
      <c r="C10" s="147" t="str">
        <f t="shared" si="0"/>
        <v>(월)</v>
      </c>
      <c r="D10" s="148"/>
      <c r="E10" s="149"/>
      <c r="F10" s="147" t="str">
        <f t="shared" si="1"/>
        <v/>
      </c>
      <c r="G10" s="148"/>
      <c r="H10" s="149"/>
      <c r="I10" s="147" t="str">
        <f t="shared" si="2"/>
        <v/>
      </c>
    </row>
    <row r="11" spans="1:9" s="147" customFormat="1" ht="17.399999999999999">
      <c r="A11" s="145" t="s">
        <v>1235</v>
      </c>
      <c r="B11" s="146">
        <v>43622</v>
      </c>
      <c r="C11" s="147" t="str">
        <f t="shared" si="0"/>
        <v>(목)</v>
      </c>
      <c r="D11" s="148"/>
      <c r="E11" s="149"/>
      <c r="F11" s="147" t="str">
        <f t="shared" si="1"/>
        <v/>
      </c>
      <c r="G11" s="148"/>
      <c r="H11" s="149"/>
      <c r="I11" s="147" t="str">
        <f t="shared" si="2"/>
        <v/>
      </c>
    </row>
    <row r="12" spans="1:9" s="147" customFormat="1" ht="17.399999999999999">
      <c r="A12" s="145" t="s">
        <v>1236</v>
      </c>
      <c r="B12" s="146">
        <v>43692</v>
      </c>
      <c r="C12" s="147" t="str">
        <f t="shared" si="0"/>
        <v>(목)</v>
      </c>
      <c r="D12" s="148"/>
      <c r="E12" s="149"/>
      <c r="F12" s="147" t="str">
        <f t="shared" si="1"/>
        <v/>
      </c>
      <c r="G12" s="148"/>
      <c r="H12" s="149"/>
      <c r="I12" s="147" t="str">
        <f t="shared" si="2"/>
        <v/>
      </c>
    </row>
    <row r="13" spans="1:9" s="147" customFormat="1" ht="17.399999999999999">
      <c r="A13" s="145" t="s">
        <v>1237</v>
      </c>
      <c r="B13" s="146">
        <v>43720</v>
      </c>
      <c r="C13" s="147" t="str">
        <f t="shared" si="0"/>
        <v>(목)</v>
      </c>
      <c r="D13" s="148"/>
      <c r="E13" s="149"/>
      <c r="F13" s="147" t="str">
        <f t="shared" si="1"/>
        <v/>
      </c>
      <c r="G13" s="148"/>
      <c r="H13" s="149"/>
      <c r="I13" s="147" t="str">
        <f t="shared" si="2"/>
        <v/>
      </c>
    </row>
    <row r="14" spans="1:9" s="147" customFormat="1" ht="17.399999999999999">
      <c r="A14" s="145" t="s">
        <v>1238</v>
      </c>
      <c r="B14" s="146">
        <v>43721</v>
      </c>
      <c r="C14" s="147" t="str">
        <f t="shared" si="0"/>
        <v>(금)</v>
      </c>
      <c r="D14" s="148"/>
      <c r="E14" s="149"/>
      <c r="F14" s="147" t="str">
        <f t="shared" si="1"/>
        <v/>
      </c>
      <c r="G14" s="148"/>
      <c r="H14" s="149"/>
      <c r="I14" s="147" t="str">
        <f t="shared" si="2"/>
        <v/>
      </c>
    </row>
    <row r="15" spans="1:9" s="147" customFormat="1" ht="17.399999999999999">
      <c r="A15" s="145" t="s">
        <v>1239</v>
      </c>
      <c r="B15" s="146">
        <v>43741</v>
      </c>
      <c r="C15" s="147" t="str">
        <f t="shared" si="0"/>
        <v>(목)</v>
      </c>
      <c r="D15" s="148"/>
      <c r="E15" s="149"/>
      <c r="F15" s="147" t="str">
        <f t="shared" si="1"/>
        <v/>
      </c>
      <c r="G15" s="148"/>
      <c r="H15" s="149"/>
      <c r="I15" s="147" t="str">
        <f t="shared" si="2"/>
        <v/>
      </c>
    </row>
    <row r="16" spans="1:9" s="147" customFormat="1" ht="17.399999999999999">
      <c r="A16" s="145" t="s">
        <v>1240</v>
      </c>
      <c r="B16" s="146">
        <v>43747</v>
      </c>
      <c r="C16" s="147" t="str">
        <f t="shared" si="0"/>
        <v>(수)</v>
      </c>
      <c r="D16" s="148"/>
      <c r="E16" s="149"/>
      <c r="F16" s="147" t="str">
        <f t="shared" si="1"/>
        <v/>
      </c>
      <c r="G16" s="148"/>
      <c r="H16" s="149"/>
      <c r="I16" s="147" t="str">
        <f t="shared" si="2"/>
        <v/>
      </c>
    </row>
    <row r="17" spans="1:10" s="147" customFormat="1" ht="17.399999999999999">
      <c r="A17" s="145" t="s">
        <v>1241</v>
      </c>
      <c r="B17" s="146">
        <v>43824</v>
      </c>
      <c r="C17" s="147" t="str">
        <f t="shared" si="0"/>
        <v>(수)</v>
      </c>
      <c r="D17" s="148"/>
      <c r="E17" s="149"/>
      <c r="F17" s="147" t="str">
        <f t="shared" si="1"/>
        <v/>
      </c>
      <c r="G17" s="148"/>
      <c r="H17" s="149"/>
      <c r="I17" s="147" t="str">
        <f t="shared" si="2"/>
        <v/>
      </c>
    </row>
    <row r="18" spans="1:10" s="147" customFormat="1" ht="17.399999999999999">
      <c r="A18" s="145" t="s">
        <v>1228</v>
      </c>
      <c r="B18" s="146">
        <v>43831</v>
      </c>
      <c r="C18" s="147" t="str">
        <f t="shared" si="0"/>
        <v>(수)</v>
      </c>
      <c r="D18" s="148"/>
      <c r="E18" s="149"/>
      <c r="F18" s="147" t="str">
        <f t="shared" si="1"/>
        <v/>
      </c>
      <c r="G18" s="148"/>
      <c r="H18" s="149"/>
      <c r="I18" s="147" t="str">
        <f t="shared" si="2"/>
        <v/>
      </c>
    </row>
    <row r="19" spans="1:10" s="147" customFormat="1" ht="19.2">
      <c r="A19" s="145" t="s">
        <v>1229</v>
      </c>
      <c r="B19" s="146">
        <v>43854</v>
      </c>
      <c r="C19" s="147" t="str">
        <f t="shared" si="0"/>
        <v>(금)</v>
      </c>
      <c r="D19" s="148"/>
      <c r="E19" s="149"/>
      <c r="F19" s="147" t="str">
        <f t="shared" si="1"/>
        <v/>
      </c>
      <c r="G19" s="148"/>
      <c r="H19" s="149"/>
      <c r="I19" s="147" t="str">
        <f t="shared" si="2"/>
        <v/>
      </c>
      <c r="J19" s="150"/>
    </row>
    <row r="20" spans="1:10" s="147" customFormat="1" ht="19.2">
      <c r="A20" s="145" t="s">
        <v>1242</v>
      </c>
      <c r="B20" s="146">
        <v>43857</v>
      </c>
      <c r="C20" s="147" t="str">
        <f t="shared" si="0"/>
        <v>(월)</v>
      </c>
      <c r="D20" s="148"/>
      <c r="E20" s="149"/>
      <c r="F20" s="147" t="str">
        <f t="shared" si="1"/>
        <v/>
      </c>
      <c r="G20" s="148"/>
      <c r="H20" s="149"/>
      <c r="I20" s="147" t="str">
        <f t="shared" si="2"/>
        <v/>
      </c>
      <c r="J20" s="150"/>
    </row>
    <row r="21" spans="1:10" s="147" customFormat="1" ht="17.399999999999999">
      <c r="A21" s="145" t="s">
        <v>1243</v>
      </c>
      <c r="B21" s="146">
        <v>43936</v>
      </c>
      <c r="C21" s="147" t="str">
        <f t="shared" si="0"/>
        <v>(수)</v>
      </c>
      <c r="D21" s="148"/>
      <c r="E21" s="149"/>
      <c r="F21" s="147" t="str">
        <f t="shared" si="1"/>
        <v/>
      </c>
      <c r="G21" s="148"/>
      <c r="H21" s="149"/>
      <c r="I21" s="147" t="str">
        <f t="shared" si="2"/>
        <v/>
      </c>
    </row>
    <row r="22" spans="1:10" s="147" customFormat="1" ht="17.399999999999999">
      <c r="A22" s="145" t="s">
        <v>1244</v>
      </c>
      <c r="B22" s="146">
        <v>43951</v>
      </c>
      <c r="C22" s="147" t="str">
        <f t="shared" si="0"/>
        <v>(목)</v>
      </c>
      <c r="D22" s="148"/>
      <c r="E22" s="149"/>
      <c r="F22" s="147" t="str">
        <f t="shared" si="1"/>
        <v/>
      </c>
      <c r="G22" s="148"/>
      <c r="H22" s="149"/>
      <c r="I22" s="147" t="str">
        <f t="shared" si="2"/>
        <v/>
      </c>
    </row>
    <row r="23" spans="1:10" s="147" customFormat="1" ht="17.399999999999999">
      <c r="A23" s="145" t="s">
        <v>1245</v>
      </c>
      <c r="B23" s="146">
        <v>43956</v>
      </c>
      <c r="C23" s="147" t="str">
        <f t="shared" si="0"/>
        <v>(화)</v>
      </c>
      <c r="D23" s="148"/>
      <c r="E23" s="149"/>
      <c r="F23" s="147" t="str">
        <f t="shared" si="1"/>
        <v/>
      </c>
      <c r="G23" s="148"/>
      <c r="H23" s="149"/>
      <c r="I23" s="147" t="str">
        <f t="shared" si="2"/>
        <v/>
      </c>
    </row>
    <row r="24" spans="1:10" s="147" customFormat="1" ht="17.399999999999999">
      <c r="A24" s="145" t="s">
        <v>1247</v>
      </c>
      <c r="B24" s="146">
        <v>44104</v>
      </c>
      <c r="C24" s="147" t="str">
        <f t="shared" si="0"/>
        <v>(수)</v>
      </c>
      <c r="D24" s="148"/>
      <c r="E24" s="149"/>
      <c r="F24" s="147" t="str">
        <f t="shared" si="1"/>
        <v/>
      </c>
      <c r="G24" s="148"/>
      <c r="H24" s="149"/>
      <c r="I24" s="147" t="str">
        <f t="shared" si="2"/>
        <v/>
      </c>
    </row>
    <row r="25" spans="1:10" s="147" customFormat="1" ht="17.399999999999999">
      <c r="A25" s="145" t="s">
        <v>1248</v>
      </c>
      <c r="B25" s="146">
        <v>44105</v>
      </c>
      <c r="C25" s="147" t="str">
        <f t="shared" si="0"/>
        <v>(목)</v>
      </c>
      <c r="D25" s="148"/>
      <c r="E25" s="149"/>
      <c r="F25" s="147" t="str">
        <f t="shared" si="1"/>
        <v/>
      </c>
      <c r="G25" s="148"/>
      <c r="H25" s="149"/>
      <c r="I25" s="147" t="str">
        <f t="shared" si="2"/>
        <v/>
      </c>
    </row>
    <row r="26" spans="1:10" s="147" customFormat="1" ht="17.399999999999999">
      <c r="A26" s="145" t="s">
        <v>1247</v>
      </c>
      <c r="B26" s="146">
        <v>44106</v>
      </c>
      <c r="C26" s="147" t="str">
        <f t="shared" si="0"/>
        <v>(금)</v>
      </c>
      <c r="D26" s="148"/>
      <c r="E26" s="149"/>
      <c r="F26" s="147" t="str">
        <f t="shared" si="1"/>
        <v/>
      </c>
      <c r="G26" s="148"/>
      <c r="H26" s="149"/>
      <c r="I26" s="147" t="str">
        <f t="shared" si="2"/>
        <v/>
      </c>
    </row>
    <row r="27" spans="1:10" s="147" customFormat="1" ht="17.399999999999999">
      <c r="A27" s="145" t="s">
        <v>1249</v>
      </c>
      <c r="B27" s="146">
        <v>44113</v>
      </c>
      <c r="C27" s="147" t="str">
        <f t="shared" si="0"/>
        <v>(금)</v>
      </c>
      <c r="D27" s="148"/>
      <c r="E27" s="149"/>
      <c r="F27" s="147" t="str">
        <f t="shared" si="1"/>
        <v/>
      </c>
      <c r="G27" s="148"/>
      <c r="H27" s="149"/>
      <c r="I27" s="147" t="str">
        <f t="shared" si="2"/>
        <v/>
      </c>
    </row>
    <row r="28" spans="1:10" s="147" customFormat="1" ht="17.399999999999999">
      <c r="A28" s="145" t="s">
        <v>1250</v>
      </c>
      <c r="B28" s="146">
        <v>44190</v>
      </c>
      <c r="C28" s="147" t="str">
        <f t="shared" si="0"/>
        <v>(금)</v>
      </c>
      <c r="D28" s="148"/>
      <c r="E28" s="149"/>
      <c r="F28" s="147" t="str">
        <f t="shared" si="1"/>
        <v/>
      </c>
      <c r="G28" s="148"/>
      <c r="H28" s="149"/>
      <c r="I28" s="147" t="str">
        <f t="shared" si="2"/>
        <v/>
      </c>
    </row>
    <row r="29" spans="1:10" s="147" customFormat="1" ht="17.399999999999999">
      <c r="A29" s="145"/>
      <c r="B29" s="146"/>
      <c r="C29" s="147" t="str">
        <f t="shared" si="0"/>
        <v/>
      </c>
      <c r="D29" s="148"/>
      <c r="E29" s="149"/>
      <c r="F29" s="147" t="str">
        <f t="shared" si="1"/>
        <v/>
      </c>
      <c r="G29" s="148"/>
      <c r="H29" s="149"/>
      <c r="I29" s="147" t="str">
        <f t="shared" si="2"/>
        <v/>
      </c>
    </row>
    <row r="30" spans="1:10" s="147" customFormat="1" ht="17.399999999999999">
      <c r="A30" s="145"/>
      <c r="B30" s="146"/>
      <c r="C30" s="147" t="str">
        <f t="shared" si="0"/>
        <v/>
      </c>
      <c r="D30" s="148"/>
      <c r="E30" s="149"/>
      <c r="F30" s="147" t="str">
        <f t="shared" si="1"/>
        <v/>
      </c>
      <c r="G30" s="148"/>
      <c r="H30" s="149"/>
      <c r="I30" s="147" t="str">
        <f t="shared" si="2"/>
        <v/>
      </c>
    </row>
    <row r="31" spans="1:10" s="147" customFormat="1" ht="17.399999999999999">
      <c r="A31" s="145"/>
      <c r="B31" s="146"/>
      <c r="C31" s="147" t="str">
        <f t="shared" si="0"/>
        <v/>
      </c>
      <c r="D31" s="148"/>
      <c r="E31" s="149"/>
      <c r="F31" s="147" t="str">
        <f t="shared" si="1"/>
        <v/>
      </c>
      <c r="G31" s="148"/>
      <c r="H31" s="149"/>
      <c r="I31" s="147" t="str">
        <f t="shared" si="2"/>
        <v/>
      </c>
    </row>
    <row r="32" spans="1:10" s="147" customFormat="1" ht="17.399999999999999">
      <c r="A32" s="145"/>
      <c r="B32" s="146"/>
      <c r="C32" s="147" t="str">
        <f t="shared" si="0"/>
        <v/>
      </c>
      <c r="D32" s="148"/>
      <c r="E32" s="149"/>
      <c r="F32" s="147" t="str">
        <f t="shared" si="1"/>
        <v/>
      </c>
      <c r="G32" s="148"/>
      <c r="H32" s="149"/>
      <c r="I32" s="147" t="str">
        <f t="shared" si="2"/>
        <v/>
      </c>
    </row>
    <row r="33" spans="1:9" s="147" customFormat="1" ht="17.399999999999999">
      <c r="A33" s="145"/>
      <c r="B33" s="146"/>
      <c r="C33" s="147" t="str">
        <f t="shared" si="0"/>
        <v/>
      </c>
      <c r="D33" s="148"/>
      <c r="E33" s="149"/>
      <c r="F33" s="147" t="str">
        <f t="shared" si="1"/>
        <v/>
      </c>
      <c r="G33" s="148"/>
      <c r="H33" s="149"/>
      <c r="I33" s="147" t="str">
        <f t="shared" si="2"/>
        <v/>
      </c>
    </row>
    <row r="34" spans="1:9" s="147" customFormat="1" ht="17.399999999999999">
      <c r="A34" s="145"/>
      <c r="B34" s="146"/>
      <c r="C34" s="147" t="str">
        <f t="shared" si="0"/>
        <v/>
      </c>
      <c r="D34" s="148"/>
      <c r="E34" s="149"/>
      <c r="F34" s="147" t="str">
        <f t="shared" si="1"/>
        <v/>
      </c>
      <c r="G34" s="148"/>
      <c r="H34" s="149"/>
      <c r="I34" s="147" t="str">
        <f t="shared" si="2"/>
        <v/>
      </c>
    </row>
    <row r="35" spans="1:9" s="147" customFormat="1" ht="17.399999999999999">
      <c r="A35" s="145"/>
      <c r="B35" s="146"/>
      <c r="C35" s="147" t="str">
        <f t="shared" si="0"/>
        <v/>
      </c>
      <c r="D35" s="148"/>
      <c r="E35" s="149"/>
      <c r="F35" s="147" t="str">
        <f t="shared" si="1"/>
        <v/>
      </c>
      <c r="G35" s="148"/>
      <c r="H35" s="149"/>
      <c r="I35" s="147" t="str">
        <f t="shared" si="2"/>
        <v/>
      </c>
    </row>
    <row r="36" spans="1:9" s="147" customFormat="1" ht="17.399999999999999">
      <c r="A36" s="145"/>
      <c r="B36" s="146"/>
      <c r="C36" s="147" t="str">
        <f t="shared" si="0"/>
        <v/>
      </c>
      <c r="D36" s="148"/>
      <c r="E36" s="149"/>
      <c r="F36" s="147" t="str">
        <f t="shared" si="1"/>
        <v/>
      </c>
      <c r="G36" s="148"/>
      <c r="H36" s="149"/>
      <c r="I36" s="147" t="str">
        <f t="shared" si="2"/>
        <v/>
      </c>
    </row>
    <row r="37" spans="1:9" s="147" customFormat="1" ht="17.399999999999999">
      <c r="A37" s="145"/>
      <c r="B37" s="146"/>
      <c r="C37" s="147" t="str">
        <f t="shared" si="0"/>
        <v/>
      </c>
      <c r="D37" s="148"/>
      <c r="E37" s="149"/>
      <c r="F37" s="147" t="str">
        <f t="shared" si="1"/>
        <v/>
      </c>
      <c r="G37" s="148"/>
      <c r="H37" s="149"/>
      <c r="I37" s="147" t="str">
        <f t="shared" si="2"/>
        <v/>
      </c>
    </row>
    <row r="38" spans="1:9" s="147" customFormat="1" ht="17.399999999999999">
      <c r="A38" s="145"/>
      <c r="B38" s="146"/>
      <c r="C38" s="147" t="str">
        <f t="shared" si="0"/>
        <v/>
      </c>
      <c r="D38" s="148"/>
      <c r="E38" s="149"/>
      <c r="F38" s="147" t="str">
        <f t="shared" si="1"/>
        <v/>
      </c>
      <c r="G38" s="148"/>
      <c r="H38" s="149"/>
      <c r="I38" s="147" t="str">
        <f t="shared" si="2"/>
        <v/>
      </c>
    </row>
    <row r="39" spans="1:9" s="147" customFormat="1" ht="17.399999999999999">
      <c r="A39" s="145"/>
      <c r="B39" s="146"/>
      <c r="C39" s="147" t="str">
        <f t="shared" si="0"/>
        <v/>
      </c>
      <c r="D39" s="148"/>
      <c r="E39" s="149"/>
      <c r="F39" s="147" t="str">
        <f t="shared" si="1"/>
        <v/>
      </c>
      <c r="G39" s="148"/>
      <c r="H39" s="149"/>
      <c r="I39" s="147" t="str">
        <f t="shared" si="2"/>
        <v/>
      </c>
    </row>
    <row r="40" spans="1:9" s="147" customFormat="1" ht="17.399999999999999">
      <c r="A40" s="145"/>
      <c r="B40" s="146"/>
      <c r="C40" s="147" t="str">
        <f t="shared" si="0"/>
        <v/>
      </c>
      <c r="D40" s="148"/>
      <c r="E40" s="149"/>
      <c r="F40" s="147" t="str">
        <f t="shared" si="1"/>
        <v/>
      </c>
      <c r="G40" s="148"/>
      <c r="H40" s="149"/>
      <c r="I40" s="147" t="str">
        <f t="shared" si="2"/>
        <v/>
      </c>
    </row>
    <row r="41" spans="1:9" s="147" customFormat="1" ht="17.399999999999999">
      <c r="A41" s="145"/>
      <c r="B41" s="146"/>
      <c r="C41" s="147" t="str">
        <f t="shared" si="0"/>
        <v/>
      </c>
      <c r="D41" s="148"/>
      <c r="E41" s="149"/>
      <c r="F41" s="147" t="str">
        <f t="shared" si="1"/>
        <v/>
      </c>
      <c r="G41" s="148"/>
      <c r="H41" s="149"/>
      <c r="I41" s="147" t="str">
        <f t="shared" si="2"/>
        <v/>
      </c>
    </row>
    <row r="42" spans="1:9" s="147" customFormat="1" ht="17.399999999999999">
      <c r="A42" s="145"/>
      <c r="B42" s="146"/>
      <c r="C42" s="147" t="str">
        <f t="shared" si="0"/>
        <v/>
      </c>
      <c r="D42" s="148"/>
      <c r="E42" s="149"/>
      <c r="F42" s="147" t="str">
        <f t="shared" si="1"/>
        <v/>
      </c>
      <c r="G42" s="148"/>
      <c r="H42" s="149"/>
      <c r="I42" s="147" t="str">
        <f t="shared" si="2"/>
        <v/>
      </c>
    </row>
    <row r="43" spans="1:9" s="147" customFormat="1" ht="17.399999999999999">
      <c r="A43" s="145"/>
      <c r="B43" s="146"/>
      <c r="C43" s="147" t="str">
        <f t="shared" si="0"/>
        <v/>
      </c>
      <c r="D43" s="148"/>
      <c r="E43" s="149"/>
      <c r="F43" s="147" t="str">
        <f t="shared" si="1"/>
        <v/>
      </c>
      <c r="G43" s="148"/>
      <c r="H43" s="149"/>
      <c r="I43" s="147" t="str">
        <f t="shared" si="2"/>
        <v/>
      </c>
    </row>
    <row r="44" spans="1:9" s="147" customFormat="1" ht="17.399999999999999">
      <c r="A44" s="145"/>
      <c r="B44" s="146"/>
      <c r="C44" s="147" t="str">
        <f t="shared" si="0"/>
        <v/>
      </c>
      <c r="D44" s="148"/>
      <c r="E44" s="149"/>
      <c r="F44" s="147" t="str">
        <f t="shared" si="1"/>
        <v/>
      </c>
      <c r="G44" s="148"/>
      <c r="H44" s="149"/>
      <c r="I44" s="147" t="str">
        <f t="shared" si="2"/>
        <v/>
      </c>
    </row>
    <row r="45" spans="1:9" s="147" customFormat="1" ht="17.399999999999999">
      <c r="A45" s="145"/>
      <c r="B45" s="146"/>
      <c r="C45" s="147" t="str">
        <f t="shared" si="0"/>
        <v/>
      </c>
      <c r="D45" s="148"/>
      <c r="E45" s="149"/>
      <c r="F45" s="147" t="str">
        <f t="shared" si="1"/>
        <v/>
      </c>
      <c r="G45" s="148"/>
      <c r="H45" s="149"/>
      <c r="I45" s="147" t="str">
        <f t="shared" si="2"/>
        <v/>
      </c>
    </row>
    <row r="46" spans="1:9" s="147" customFormat="1" ht="17.399999999999999">
      <c r="A46" s="145"/>
      <c r="B46" s="146"/>
      <c r="C46" s="147" t="str">
        <f t="shared" si="0"/>
        <v/>
      </c>
      <c r="D46" s="148"/>
      <c r="E46" s="149"/>
      <c r="F46" s="147" t="str">
        <f t="shared" si="1"/>
        <v/>
      </c>
      <c r="G46" s="148"/>
      <c r="H46" s="149"/>
      <c r="I46" s="147" t="str">
        <f t="shared" si="2"/>
        <v/>
      </c>
    </row>
    <row r="47" spans="1:9" s="147" customFormat="1" ht="17.399999999999999">
      <c r="A47" s="145"/>
      <c r="B47" s="146"/>
      <c r="C47" s="147" t="str">
        <f t="shared" si="0"/>
        <v/>
      </c>
      <c r="D47" s="148"/>
      <c r="E47" s="149"/>
      <c r="F47" s="147" t="str">
        <f t="shared" si="1"/>
        <v/>
      </c>
      <c r="G47" s="148"/>
      <c r="H47" s="149"/>
      <c r="I47" s="147" t="str">
        <f t="shared" si="2"/>
        <v/>
      </c>
    </row>
    <row r="48" spans="1:9" s="147" customFormat="1" ht="17.399999999999999">
      <c r="A48" s="145"/>
      <c r="B48" s="146"/>
      <c r="C48" s="147" t="str">
        <f t="shared" si="0"/>
        <v/>
      </c>
      <c r="D48" s="148"/>
      <c r="E48" s="149"/>
      <c r="F48" s="147" t="str">
        <f t="shared" si="1"/>
        <v/>
      </c>
      <c r="G48" s="148"/>
      <c r="H48" s="149"/>
      <c r="I48" s="147" t="str">
        <f t="shared" si="2"/>
        <v/>
      </c>
    </row>
    <row r="49" spans="1:9" s="147" customFormat="1" ht="17.399999999999999">
      <c r="A49" s="145"/>
      <c r="B49" s="146"/>
      <c r="C49" s="147" t="str">
        <f t="shared" si="0"/>
        <v/>
      </c>
      <c r="D49" s="148"/>
      <c r="E49" s="149"/>
      <c r="F49" s="147" t="str">
        <f t="shared" si="1"/>
        <v/>
      </c>
      <c r="G49" s="148"/>
      <c r="H49" s="149"/>
      <c r="I49" s="147" t="str">
        <f t="shared" si="2"/>
        <v/>
      </c>
    </row>
    <row r="50" spans="1:9" s="147" customFormat="1" ht="17.399999999999999">
      <c r="A50" s="145"/>
      <c r="B50" s="146"/>
      <c r="C50" s="147" t="str">
        <f t="shared" si="0"/>
        <v/>
      </c>
      <c r="D50" s="148"/>
      <c r="E50" s="149"/>
      <c r="F50" s="147" t="str">
        <f t="shared" si="1"/>
        <v/>
      </c>
      <c r="G50" s="148"/>
      <c r="H50" s="149"/>
      <c r="I50" s="147" t="str">
        <f t="shared" si="2"/>
        <v/>
      </c>
    </row>
    <row r="51" spans="1:9" s="147" customFormat="1" ht="17.399999999999999">
      <c r="A51" s="145"/>
      <c r="B51" s="146"/>
      <c r="C51" s="147" t="str">
        <f t="shared" si="0"/>
        <v/>
      </c>
      <c r="D51" s="148"/>
      <c r="E51" s="149"/>
      <c r="F51" s="147" t="str">
        <f t="shared" si="1"/>
        <v/>
      </c>
      <c r="G51" s="148"/>
      <c r="H51" s="149"/>
      <c r="I51" s="147" t="str">
        <f t="shared" si="2"/>
        <v/>
      </c>
    </row>
    <row r="52" spans="1:9" s="147" customFormat="1" ht="17.399999999999999">
      <c r="A52" s="145"/>
      <c r="B52" s="146"/>
      <c r="C52" s="147" t="str">
        <f t="shared" si="0"/>
        <v/>
      </c>
      <c r="D52" s="148"/>
      <c r="E52" s="149"/>
      <c r="F52" s="147" t="str">
        <f t="shared" si="1"/>
        <v/>
      </c>
      <c r="G52" s="148"/>
      <c r="H52" s="149"/>
      <c r="I52" s="147" t="str">
        <f t="shared" si="2"/>
        <v/>
      </c>
    </row>
    <row r="53" spans="1:9" s="147" customFormat="1" ht="17.399999999999999">
      <c r="A53" s="145"/>
      <c r="B53" s="146"/>
      <c r="C53" s="147" t="str">
        <f t="shared" si="0"/>
        <v/>
      </c>
      <c r="D53" s="148"/>
      <c r="E53" s="149"/>
      <c r="F53" s="147" t="str">
        <f t="shared" si="1"/>
        <v/>
      </c>
      <c r="G53" s="148"/>
      <c r="H53" s="149"/>
      <c r="I53" s="147" t="str">
        <f t="shared" si="2"/>
        <v/>
      </c>
    </row>
    <row r="54" spans="1:9" s="147" customFormat="1" ht="17.399999999999999">
      <c r="A54" s="145"/>
      <c r="B54" s="146"/>
      <c r="C54" s="147" t="str">
        <f t="shared" si="0"/>
        <v/>
      </c>
      <c r="D54" s="148"/>
      <c r="E54" s="149"/>
      <c r="F54" s="147" t="str">
        <f t="shared" si="1"/>
        <v/>
      </c>
      <c r="G54" s="148"/>
      <c r="H54" s="149"/>
      <c r="I54" s="147" t="str">
        <f t="shared" si="2"/>
        <v/>
      </c>
    </row>
    <row r="55" spans="1:9" s="147" customFormat="1" ht="17.399999999999999">
      <c r="A55" s="145"/>
      <c r="B55" s="146"/>
      <c r="C55" s="147" t="str">
        <f t="shared" si="0"/>
        <v/>
      </c>
      <c r="D55" s="148"/>
      <c r="E55" s="149"/>
      <c r="F55" s="147" t="str">
        <f t="shared" si="1"/>
        <v/>
      </c>
      <c r="G55" s="148"/>
      <c r="H55" s="149"/>
      <c r="I55" s="147" t="str">
        <f t="shared" si="2"/>
        <v/>
      </c>
    </row>
    <row r="56" spans="1:9" s="147" customFormat="1" ht="17.399999999999999">
      <c r="A56" s="145"/>
      <c r="B56" s="146"/>
      <c r="C56" s="147" t="str">
        <f t="shared" si="0"/>
        <v/>
      </c>
      <c r="D56" s="148"/>
      <c r="E56" s="149"/>
      <c r="F56" s="147" t="str">
        <f t="shared" si="1"/>
        <v/>
      </c>
      <c r="G56" s="148"/>
      <c r="H56" s="149"/>
      <c r="I56" s="147" t="str">
        <f t="shared" si="2"/>
        <v/>
      </c>
    </row>
    <row r="57" spans="1:9" s="147" customFormat="1" ht="17.399999999999999">
      <c r="A57" s="145"/>
      <c r="B57" s="146"/>
      <c r="C57" s="147" t="str">
        <f t="shared" si="0"/>
        <v/>
      </c>
      <c r="D57" s="148"/>
      <c r="E57" s="149"/>
      <c r="F57" s="147" t="str">
        <f t="shared" si="1"/>
        <v/>
      </c>
      <c r="G57" s="148"/>
      <c r="H57" s="149"/>
      <c r="I57" s="147" t="str">
        <f t="shared" si="2"/>
        <v/>
      </c>
    </row>
    <row r="58" spans="1:9" s="147" customFormat="1" ht="17.399999999999999">
      <c r="A58" s="145"/>
      <c r="B58" s="146"/>
      <c r="C58" s="147" t="str">
        <f t="shared" si="0"/>
        <v/>
      </c>
      <c r="D58" s="148"/>
      <c r="E58" s="149"/>
      <c r="F58" s="147" t="str">
        <f t="shared" si="1"/>
        <v/>
      </c>
      <c r="G58" s="148"/>
      <c r="H58" s="149"/>
      <c r="I58" s="147" t="str">
        <f t="shared" si="2"/>
        <v/>
      </c>
    </row>
    <row r="59" spans="1:9" s="147" customFormat="1" ht="17.399999999999999">
      <c r="A59" s="145"/>
      <c r="B59" s="146"/>
      <c r="C59" s="147" t="str">
        <f t="shared" si="0"/>
        <v/>
      </c>
      <c r="D59" s="148"/>
      <c r="E59" s="149"/>
      <c r="F59" s="147" t="str">
        <f t="shared" si="1"/>
        <v/>
      </c>
      <c r="G59" s="148"/>
      <c r="H59" s="149"/>
      <c r="I59" s="147" t="str">
        <f t="shared" si="2"/>
        <v/>
      </c>
    </row>
    <row r="60" spans="1:9" s="147" customFormat="1" ht="17.399999999999999">
      <c r="A60" s="145"/>
      <c r="B60" s="146"/>
      <c r="C60" s="147" t="str">
        <f t="shared" si="0"/>
        <v/>
      </c>
      <c r="D60" s="148"/>
      <c r="E60" s="149"/>
      <c r="F60" s="147" t="str">
        <f t="shared" si="1"/>
        <v/>
      </c>
      <c r="G60" s="148"/>
      <c r="H60" s="149"/>
      <c r="I60" s="147" t="str">
        <f t="shared" si="2"/>
        <v/>
      </c>
    </row>
    <row r="61" spans="1:9" s="147" customFormat="1" ht="17.399999999999999">
      <c r="A61" s="145"/>
      <c r="B61" s="146"/>
      <c r="C61" s="147" t="str">
        <f t="shared" si="0"/>
        <v/>
      </c>
      <c r="D61" s="148"/>
      <c r="E61" s="149"/>
      <c r="F61" s="147" t="str">
        <f t="shared" si="1"/>
        <v/>
      </c>
      <c r="G61" s="148"/>
      <c r="H61" s="149"/>
      <c r="I61" s="147" t="str">
        <f t="shared" si="2"/>
        <v/>
      </c>
    </row>
    <row r="62" spans="1:9" s="147" customFormat="1" ht="17.399999999999999">
      <c r="A62" s="145"/>
      <c r="B62" s="146"/>
      <c r="C62" s="147" t="str">
        <f t="shared" si="0"/>
        <v/>
      </c>
      <c r="D62" s="148"/>
      <c r="E62" s="149"/>
      <c r="F62" s="147" t="str">
        <f t="shared" si="1"/>
        <v/>
      </c>
      <c r="G62" s="148"/>
      <c r="H62" s="149"/>
      <c r="I62" s="147" t="str">
        <f t="shared" si="2"/>
        <v/>
      </c>
    </row>
    <row r="63" spans="1:9" s="147" customFormat="1" ht="17.399999999999999">
      <c r="A63" s="145"/>
      <c r="B63" s="146"/>
      <c r="C63" s="147" t="str">
        <f t="shared" si="0"/>
        <v/>
      </c>
      <c r="D63" s="148"/>
      <c r="E63" s="149"/>
      <c r="F63" s="147" t="str">
        <f t="shared" si="1"/>
        <v/>
      </c>
      <c r="G63" s="148"/>
      <c r="H63" s="149"/>
      <c r="I63" s="147" t="str">
        <f t="shared" si="2"/>
        <v/>
      </c>
    </row>
    <row r="64" spans="1:9" s="147" customFormat="1" ht="17.399999999999999">
      <c r="A64" s="145"/>
      <c r="B64" s="146"/>
      <c r="C64" s="147" t="str">
        <f t="shared" si="0"/>
        <v/>
      </c>
      <c r="D64" s="148"/>
      <c r="E64" s="149"/>
      <c r="F64" s="147" t="str">
        <f t="shared" si="1"/>
        <v/>
      </c>
      <c r="G64" s="148"/>
      <c r="H64" s="149"/>
      <c r="I64" s="147" t="str">
        <f t="shared" si="2"/>
        <v/>
      </c>
    </row>
    <row r="65" spans="1:9" s="147" customFormat="1" ht="17.399999999999999">
      <c r="A65" s="145"/>
      <c r="B65" s="146"/>
      <c r="C65" s="147" t="str">
        <f t="shared" si="0"/>
        <v/>
      </c>
      <c r="D65" s="148"/>
      <c r="E65" s="149"/>
      <c r="F65" s="147" t="str">
        <f t="shared" si="1"/>
        <v/>
      </c>
      <c r="G65" s="148"/>
      <c r="H65" s="149"/>
      <c r="I65" s="147" t="str">
        <f t="shared" si="2"/>
        <v/>
      </c>
    </row>
    <row r="66" spans="1:9" s="147" customFormat="1" ht="17.399999999999999">
      <c r="A66" s="145"/>
      <c r="B66" s="146"/>
      <c r="C66" s="147" t="str">
        <f t="shared" si="0"/>
        <v/>
      </c>
      <c r="D66" s="148"/>
      <c r="E66" s="149"/>
      <c r="F66" s="147" t="str">
        <f t="shared" si="1"/>
        <v/>
      </c>
      <c r="G66" s="148"/>
      <c r="H66" s="149"/>
      <c r="I66" s="147" t="str">
        <f t="shared" si="2"/>
        <v/>
      </c>
    </row>
    <row r="67" spans="1:9" s="147" customFormat="1" ht="17.399999999999999">
      <c r="A67" s="145"/>
      <c r="B67" s="146"/>
      <c r="C67" s="147" t="str">
        <f t="shared" si="0"/>
        <v/>
      </c>
      <c r="D67" s="148"/>
      <c r="E67" s="149"/>
      <c r="F67" s="147" t="str">
        <f t="shared" si="1"/>
        <v/>
      </c>
      <c r="G67" s="148"/>
      <c r="H67" s="149"/>
      <c r="I67" s="147" t="str">
        <f t="shared" si="2"/>
        <v/>
      </c>
    </row>
    <row r="68" spans="1:9" s="147" customFormat="1" ht="17.399999999999999">
      <c r="A68" s="145"/>
      <c r="B68" s="146"/>
      <c r="C68" s="147" t="str">
        <f t="shared" si="0"/>
        <v/>
      </c>
      <c r="D68" s="148"/>
      <c r="E68" s="149"/>
      <c r="F68" s="147" t="str">
        <f t="shared" si="1"/>
        <v/>
      </c>
      <c r="G68" s="148"/>
      <c r="H68" s="149"/>
      <c r="I68" s="147" t="str">
        <f t="shared" si="2"/>
        <v/>
      </c>
    </row>
    <row r="69" spans="1:9" s="147" customFormat="1" ht="17.399999999999999">
      <c r="A69" s="145"/>
      <c r="B69" s="146"/>
      <c r="C69" s="147" t="str">
        <f t="shared" ref="C69:C132" si="3">IF(B69&gt;0,TEXT(B69,"(aaa)"),"")</f>
        <v/>
      </c>
      <c r="D69" s="148"/>
      <c r="E69" s="149"/>
      <c r="F69" s="147" t="str">
        <f t="shared" ref="F69:F132" si="4">IF(E69&gt;0,TEXT(E69,"(aaa)"),"")</f>
        <v/>
      </c>
      <c r="G69" s="148"/>
      <c r="H69" s="149"/>
      <c r="I69" s="147" t="str">
        <f t="shared" ref="I69:I132" si="5">IF(H69&gt;0,TEXT(H69,"(aaa)"),"")</f>
        <v/>
      </c>
    </row>
    <row r="70" spans="1:9" s="147" customFormat="1" ht="17.399999999999999">
      <c r="A70" s="145"/>
      <c r="B70" s="146"/>
      <c r="C70" s="147" t="str">
        <f t="shared" si="3"/>
        <v/>
      </c>
      <c r="D70" s="148"/>
      <c r="E70" s="149"/>
      <c r="F70" s="147" t="str">
        <f t="shared" si="4"/>
        <v/>
      </c>
      <c r="G70" s="148"/>
      <c r="H70" s="149"/>
      <c r="I70" s="147" t="str">
        <f t="shared" si="5"/>
        <v/>
      </c>
    </row>
    <row r="71" spans="1:9" s="147" customFormat="1" ht="17.399999999999999">
      <c r="A71" s="145"/>
      <c r="B71" s="146"/>
      <c r="C71" s="147" t="str">
        <f t="shared" si="3"/>
        <v/>
      </c>
      <c r="D71" s="148"/>
      <c r="E71" s="149"/>
      <c r="F71" s="147" t="str">
        <f t="shared" si="4"/>
        <v/>
      </c>
      <c r="G71" s="148"/>
      <c r="H71" s="149"/>
      <c r="I71" s="147" t="str">
        <f t="shared" si="5"/>
        <v/>
      </c>
    </row>
    <row r="72" spans="1:9" s="147" customFormat="1" ht="17.399999999999999">
      <c r="A72" s="145"/>
      <c r="B72" s="146"/>
      <c r="C72" s="147" t="str">
        <f t="shared" si="3"/>
        <v/>
      </c>
      <c r="D72" s="148"/>
      <c r="E72" s="149"/>
      <c r="F72" s="147" t="str">
        <f t="shared" si="4"/>
        <v/>
      </c>
      <c r="G72" s="148"/>
      <c r="H72" s="149"/>
      <c r="I72" s="147" t="str">
        <f t="shared" si="5"/>
        <v/>
      </c>
    </row>
    <row r="73" spans="1:9" s="147" customFormat="1" ht="17.399999999999999">
      <c r="A73" s="145"/>
      <c r="B73" s="146"/>
      <c r="C73" s="147" t="str">
        <f t="shared" si="3"/>
        <v/>
      </c>
      <c r="D73" s="148"/>
      <c r="E73" s="149"/>
      <c r="F73" s="147" t="str">
        <f t="shared" si="4"/>
        <v/>
      </c>
      <c r="G73" s="148"/>
      <c r="H73" s="149"/>
      <c r="I73" s="147" t="str">
        <f t="shared" si="5"/>
        <v/>
      </c>
    </row>
    <row r="74" spans="1:9" s="147" customFormat="1" ht="17.399999999999999">
      <c r="A74" s="145"/>
      <c r="B74" s="146"/>
      <c r="C74" s="147" t="str">
        <f t="shared" si="3"/>
        <v/>
      </c>
      <c r="D74" s="148"/>
      <c r="E74" s="149"/>
      <c r="F74" s="147" t="str">
        <f t="shared" si="4"/>
        <v/>
      </c>
      <c r="G74" s="148"/>
      <c r="H74" s="149"/>
      <c r="I74" s="147" t="str">
        <f t="shared" si="5"/>
        <v/>
      </c>
    </row>
    <row r="75" spans="1:9" s="147" customFormat="1" ht="17.399999999999999">
      <c r="A75" s="145"/>
      <c r="B75" s="146"/>
      <c r="C75" s="147" t="str">
        <f t="shared" si="3"/>
        <v/>
      </c>
      <c r="D75" s="148"/>
      <c r="E75" s="149"/>
      <c r="F75" s="147" t="str">
        <f t="shared" si="4"/>
        <v/>
      </c>
      <c r="G75" s="148"/>
      <c r="H75" s="149"/>
      <c r="I75" s="147" t="str">
        <f t="shared" si="5"/>
        <v/>
      </c>
    </row>
    <row r="76" spans="1:9" s="147" customFormat="1" ht="17.399999999999999">
      <c r="A76" s="145"/>
      <c r="B76" s="146"/>
      <c r="C76" s="147" t="str">
        <f t="shared" si="3"/>
        <v/>
      </c>
      <c r="D76" s="148"/>
      <c r="E76" s="149"/>
      <c r="F76" s="147" t="str">
        <f t="shared" si="4"/>
        <v/>
      </c>
      <c r="G76" s="148"/>
      <c r="H76" s="149"/>
      <c r="I76" s="147" t="str">
        <f t="shared" si="5"/>
        <v/>
      </c>
    </row>
    <row r="77" spans="1:9" s="147" customFormat="1" ht="17.399999999999999">
      <c r="A77" s="145"/>
      <c r="B77" s="146"/>
      <c r="C77" s="147" t="str">
        <f t="shared" si="3"/>
        <v/>
      </c>
      <c r="D77" s="148"/>
      <c r="E77" s="149"/>
      <c r="F77" s="147" t="str">
        <f t="shared" si="4"/>
        <v/>
      </c>
      <c r="G77" s="148"/>
      <c r="H77" s="149"/>
      <c r="I77" s="147" t="str">
        <f t="shared" si="5"/>
        <v/>
      </c>
    </row>
    <row r="78" spans="1:9" s="147" customFormat="1" ht="17.399999999999999">
      <c r="A78" s="145"/>
      <c r="B78" s="146"/>
      <c r="C78" s="147" t="str">
        <f t="shared" si="3"/>
        <v/>
      </c>
      <c r="D78" s="148"/>
      <c r="E78" s="149"/>
      <c r="F78" s="147" t="str">
        <f t="shared" si="4"/>
        <v/>
      </c>
      <c r="G78" s="148"/>
      <c r="H78" s="149"/>
      <c r="I78" s="147" t="str">
        <f t="shared" si="5"/>
        <v/>
      </c>
    </row>
    <row r="79" spans="1:9" s="147" customFormat="1" ht="17.399999999999999">
      <c r="A79" s="145"/>
      <c r="B79" s="146"/>
      <c r="C79" s="147" t="str">
        <f t="shared" si="3"/>
        <v/>
      </c>
      <c r="D79" s="148"/>
      <c r="E79" s="149"/>
      <c r="F79" s="147" t="str">
        <f t="shared" si="4"/>
        <v/>
      </c>
      <c r="G79" s="148"/>
      <c r="H79" s="149"/>
      <c r="I79" s="147" t="str">
        <f t="shared" si="5"/>
        <v/>
      </c>
    </row>
    <row r="80" spans="1:9" s="147" customFormat="1" ht="17.399999999999999">
      <c r="A80" s="145"/>
      <c r="B80" s="146"/>
      <c r="C80" s="147" t="str">
        <f t="shared" si="3"/>
        <v/>
      </c>
      <c r="D80" s="148"/>
      <c r="E80" s="149"/>
      <c r="F80" s="147" t="str">
        <f t="shared" si="4"/>
        <v/>
      </c>
      <c r="G80" s="148"/>
      <c r="H80" s="149"/>
      <c r="I80" s="147" t="str">
        <f t="shared" si="5"/>
        <v/>
      </c>
    </row>
    <row r="81" spans="1:9" s="147" customFormat="1" ht="17.399999999999999">
      <c r="A81" s="145"/>
      <c r="B81" s="146"/>
      <c r="C81" s="147" t="str">
        <f t="shared" si="3"/>
        <v/>
      </c>
      <c r="D81" s="148"/>
      <c r="E81" s="149"/>
      <c r="F81" s="147" t="str">
        <f t="shared" si="4"/>
        <v/>
      </c>
      <c r="G81" s="148"/>
      <c r="H81" s="149"/>
      <c r="I81" s="147" t="str">
        <f t="shared" si="5"/>
        <v/>
      </c>
    </row>
    <row r="82" spans="1:9" s="147" customFormat="1" ht="17.399999999999999">
      <c r="A82" s="145"/>
      <c r="B82" s="146"/>
      <c r="C82" s="147" t="str">
        <f t="shared" si="3"/>
        <v/>
      </c>
      <c r="D82" s="148"/>
      <c r="E82" s="149"/>
      <c r="F82" s="147" t="str">
        <f t="shared" si="4"/>
        <v/>
      </c>
      <c r="G82" s="148"/>
      <c r="H82" s="149"/>
      <c r="I82" s="147" t="str">
        <f t="shared" si="5"/>
        <v/>
      </c>
    </row>
    <row r="83" spans="1:9" s="147" customFormat="1" ht="17.399999999999999">
      <c r="A83" s="145"/>
      <c r="B83" s="146"/>
      <c r="C83" s="147" t="str">
        <f t="shared" si="3"/>
        <v/>
      </c>
      <c r="D83" s="148"/>
      <c r="E83" s="149"/>
      <c r="F83" s="147" t="str">
        <f t="shared" si="4"/>
        <v/>
      </c>
      <c r="G83" s="148"/>
      <c r="H83" s="149"/>
      <c r="I83" s="147" t="str">
        <f t="shared" si="5"/>
        <v/>
      </c>
    </row>
    <row r="84" spans="1:9" s="147" customFormat="1" ht="17.399999999999999">
      <c r="A84" s="145"/>
      <c r="B84" s="146"/>
      <c r="C84" s="147" t="str">
        <f t="shared" si="3"/>
        <v/>
      </c>
      <c r="D84" s="148"/>
      <c r="E84" s="149"/>
      <c r="F84" s="147" t="str">
        <f t="shared" si="4"/>
        <v/>
      </c>
      <c r="G84" s="148"/>
      <c r="H84" s="149"/>
      <c r="I84" s="147" t="str">
        <f t="shared" si="5"/>
        <v/>
      </c>
    </row>
    <row r="85" spans="1:9" s="147" customFormat="1" ht="17.399999999999999">
      <c r="A85" s="145"/>
      <c r="B85" s="146"/>
      <c r="C85" s="147" t="str">
        <f t="shared" si="3"/>
        <v/>
      </c>
      <c r="D85" s="148"/>
      <c r="E85" s="149"/>
      <c r="F85" s="147" t="str">
        <f t="shared" si="4"/>
        <v/>
      </c>
      <c r="G85" s="148"/>
      <c r="H85" s="149"/>
      <c r="I85" s="147" t="str">
        <f t="shared" si="5"/>
        <v/>
      </c>
    </row>
    <row r="86" spans="1:9" s="147" customFormat="1" ht="17.399999999999999">
      <c r="A86" s="145"/>
      <c r="B86" s="146"/>
      <c r="C86" s="147" t="str">
        <f t="shared" si="3"/>
        <v/>
      </c>
      <c r="D86" s="148"/>
      <c r="E86" s="149"/>
      <c r="F86" s="147" t="str">
        <f t="shared" si="4"/>
        <v/>
      </c>
      <c r="G86" s="148"/>
      <c r="H86" s="149"/>
      <c r="I86" s="147" t="str">
        <f t="shared" si="5"/>
        <v/>
      </c>
    </row>
    <row r="87" spans="1:9" s="147" customFormat="1" ht="17.399999999999999">
      <c r="A87" s="145"/>
      <c r="B87" s="146"/>
      <c r="C87" s="147" t="str">
        <f t="shared" si="3"/>
        <v/>
      </c>
      <c r="D87" s="148"/>
      <c r="E87" s="149"/>
      <c r="F87" s="147" t="str">
        <f t="shared" si="4"/>
        <v/>
      </c>
      <c r="G87" s="148"/>
      <c r="H87" s="149"/>
      <c r="I87" s="147" t="str">
        <f t="shared" si="5"/>
        <v/>
      </c>
    </row>
    <row r="88" spans="1:9" s="147" customFormat="1" ht="17.399999999999999">
      <c r="A88" s="145"/>
      <c r="B88" s="146"/>
      <c r="C88" s="147" t="str">
        <f t="shared" si="3"/>
        <v/>
      </c>
      <c r="D88" s="148"/>
      <c r="E88" s="149"/>
      <c r="F88" s="147" t="str">
        <f t="shared" si="4"/>
        <v/>
      </c>
      <c r="G88" s="148"/>
      <c r="H88" s="149"/>
      <c r="I88" s="147" t="str">
        <f t="shared" si="5"/>
        <v/>
      </c>
    </row>
    <row r="89" spans="1:9" s="147" customFormat="1" ht="17.399999999999999">
      <c r="A89" s="145"/>
      <c r="B89" s="146"/>
      <c r="C89" s="147" t="str">
        <f t="shared" si="3"/>
        <v/>
      </c>
      <c r="D89" s="148"/>
      <c r="E89" s="149"/>
      <c r="F89" s="147" t="str">
        <f t="shared" si="4"/>
        <v/>
      </c>
      <c r="G89" s="148"/>
      <c r="H89" s="149"/>
      <c r="I89" s="147" t="str">
        <f t="shared" si="5"/>
        <v/>
      </c>
    </row>
    <row r="90" spans="1:9" s="147" customFormat="1" ht="17.399999999999999">
      <c r="A90" s="145"/>
      <c r="B90" s="146"/>
      <c r="C90" s="147" t="str">
        <f t="shared" si="3"/>
        <v/>
      </c>
      <c r="D90" s="148"/>
      <c r="E90" s="149"/>
      <c r="F90" s="147" t="str">
        <f t="shared" si="4"/>
        <v/>
      </c>
      <c r="G90" s="148"/>
      <c r="H90" s="149"/>
      <c r="I90" s="147" t="str">
        <f t="shared" si="5"/>
        <v/>
      </c>
    </row>
    <row r="91" spans="1:9" s="147" customFormat="1" ht="17.399999999999999">
      <c r="A91" s="145"/>
      <c r="B91" s="146"/>
      <c r="C91" s="147" t="str">
        <f t="shared" si="3"/>
        <v/>
      </c>
      <c r="D91" s="148"/>
      <c r="E91" s="149"/>
      <c r="F91" s="147" t="str">
        <f t="shared" si="4"/>
        <v/>
      </c>
      <c r="G91" s="148"/>
      <c r="H91" s="149"/>
      <c r="I91" s="147" t="str">
        <f t="shared" si="5"/>
        <v/>
      </c>
    </row>
    <row r="92" spans="1:9" s="147" customFormat="1" ht="17.399999999999999">
      <c r="A92" s="145"/>
      <c r="B92" s="146"/>
      <c r="C92" s="147" t="str">
        <f t="shared" si="3"/>
        <v/>
      </c>
      <c r="D92" s="148"/>
      <c r="E92" s="149"/>
      <c r="F92" s="147" t="str">
        <f t="shared" si="4"/>
        <v/>
      </c>
      <c r="G92" s="148"/>
      <c r="H92" s="149"/>
      <c r="I92" s="147" t="str">
        <f t="shared" si="5"/>
        <v/>
      </c>
    </row>
    <row r="93" spans="1:9" s="147" customFormat="1" ht="17.399999999999999">
      <c r="A93" s="145"/>
      <c r="B93" s="146"/>
      <c r="C93" s="147" t="str">
        <f t="shared" si="3"/>
        <v/>
      </c>
      <c r="D93" s="148"/>
      <c r="E93" s="149"/>
      <c r="F93" s="147" t="str">
        <f t="shared" si="4"/>
        <v/>
      </c>
      <c r="G93" s="148"/>
      <c r="H93" s="149"/>
      <c r="I93" s="147" t="str">
        <f t="shared" si="5"/>
        <v/>
      </c>
    </row>
    <row r="94" spans="1:9" s="147" customFormat="1" ht="17.399999999999999">
      <c r="A94" s="145"/>
      <c r="B94" s="146"/>
      <c r="C94" s="147" t="str">
        <f t="shared" si="3"/>
        <v/>
      </c>
      <c r="D94" s="148"/>
      <c r="E94" s="149"/>
      <c r="F94" s="147" t="str">
        <f t="shared" si="4"/>
        <v/>
      </c>
      <c r="G94" s="148"/>
      <c r="H94" s="149"/>
      <c r="I94" s="147" t="str">
        <f t="shared" si="5"/>
        <v/>
      </c>
    </row>
    <row r="95" spans="1:9" s="147" customFormat="1" ht="17.399999999999999">
      <c r="A95" s="145"/>
      <c r="B95" s="146"/>
      <c r="C95" s="147" t="str">
        <f t="shared" si="3"/>
        <v/>
      </c>
      <c r="D95" s="148"/>
      <c r="E95" s="149"/>
      <c r="F95" s="147" t="str">
        <f t="shared" si="4"/>
        <v/>
      </c>
      <c r="G95" s="148"/>
      <c r="H95" s="149"/>
      <c r="I95" s="147" t="str">
        <f t="shared" si="5"/>
        <v/>
      </c>
    </row>
    <row r="96" spans="1:9" s="147" customFormat="1" ht="17.399999999999999">
      <c r="A96" s="145"/>
      <c r="B96" s="146"/>
      <c r="C96" s="147" t="str">
        <f t="shared" si="3"/>
        <v/>
      </c>
      <c r="D96" s="148"/>
      <c r="E96" s="149"/>
      <c r="F96" s="147" t="str">
        <f t="shared" si="4"/>
        <v/>
      </c>
      <c r="G96" s="148"/>
      <c r="H96" s="149"/>
      <c r="I96" s="147" t="str">
        <f t="shared" si="5"/>
        <v/>
      </c>
    </row>
    <row r="97" spans="1:9" s="147" customFormat="1" ht="17.399999999999999">
      <c r="A97" s="145"/>
      <c r="B97" s="146"/>
      <c r="C97" s="147" t="str">
        <f t="shared" si="3"/>
        <v/>
      </c>
      <c r="D97" s="148"/>
      <c r="E97" s="149"/>
      <c r="F97" s="147" t="str">
        <f t="shared" si="4"/>
        <v/>
      </c>
      <c r="G97" s="148"/>
      <c r="H97" s="149"/>
      <c r="I97" s="147" t="str">
        <f t="shared" si="5"/>
        <v/>
      </c>
    </row>
    <row r="98" spans="1:9" s="147" customFormat="1" ht="17.399999999999999">
      <c r="A98" s="145"/>
      <c r="B98" s="146"/>
      <c r="C98" s="147" t="str">
        <f t="shared" si="3"/>
        <v/>
      </c>
      <c r="D98" s="148"/>
      <c r="E98" s="149"/>
      <c r="F98" s="147" t="str">
        <f t="shared" si="4"/>
        <v/>
      </c>
      <c r="G98" s="148"/>
      <c r="H98" s="149"/>
      <c r="I98" s="147" t="str">
        <f t="shared" si="5"/>
        <v/>
      </c>
    </row>
    <row r="99" spans="1:9" s="147" customFormat="1" ht="17.399999999999999">
      <c r="A99" s="145"/>
      <c r="B99" s="146"/>
      <c r="C99" s="147" t="str">
        <f t="shared" si="3"/>
        <v/>
      </c>
      <c r="D99" s="148"/>
      <c r="E99" s="149"/>
      <c r="F99" s="147" t="str">
        <f t="shared" si="4"/>
        <v/>
      </c>
      <c r="G99" s="148"/>
      <c r="H99" s="149"/>
      <c r="I99" s="147" t="str">
        <f t="shared" si="5"/>
        <v/>
      </c>
    </row>
    <row r="100" spans="1:9" s="147" customFormat="1" ht="17.399999999999999">
      <c r="A100" s="145"/>
      <c r="B100" s="146"/>
      <c r="C100" s="147" t="str">
        <f t="shared" si="3"/>
        <v/>
      </c>
      <c r="D100" s="148"/>
      <c r="E100" s="149"/>
      <c r="F100" s="147" t="str">
        <f t="shared" si="4"/>
        <v/>
      </c>
      <c r="G100" s="148"/>
      <c r="H100" s="149"/>
      <c r="I100" s="147" t="str">
        <f t="shared" si="5"/>
        <v/>
      </c>
    </row>
    <row r="101" spans="1:9" s="147" customFormat="1" ht="17.399999999999999">
      <c r="A101" s="145"/>
      <c r="B101" s="146"/>
      <c r="C101" s="147" t="str">
        <f t="shared" si="3"/>
        <v/>
      </c>
      <c r="D101" s="148"/>
      <c r="E101" s="149"/>
      <c r="F101" s="147" t="str">
        <f t="shared" si="4"/>
        <v/>
      </c>
      <c r="G101" s="148"/>
      <c r="H101" s="149"/>
      <c r="I101" s="147" t="str">
        <f t="shared" si="5"/>
        <v/>
      </c>
    </row>
    <row r="102" spans="1:9" s="147" customFormat="1" ht="17.399999999999999">
      <c r="A102" s="145"/>
      <c r="B102" s="146"/>
      <c r="C102" s="147" t="str">
        <f t="shared" si="3"/>
        <v/>
      </c>
      <c r="D102" s="148"/>
      <c r="E102" s="149"/>
      <c r="F102" s="147" t="str">
        <f t="shared" si="4"/>
        <v/>
      </c>
      <c r="G102" s="148"/>
      <c r="H102" s="149"/>
      <c r="I102" s="147" t="str">
        <f t="shared" si="5"/>
        <v/>
      </c>
    </row>
    <row r="103" spans="1:9" s="147" customFormat="1" ht="17.399999999999999">
      <c r="A103" s="145"/>
      <c r="B103" s="146"/>
      <c r="C103" s="147" t="str">
        <f t="shared" si="3"/>
        <v/>
      </c>
      <c r="D103" s="148"/>
      <c r="E103" s="149"/>
      <c r="F103" s="147" t="str">
        <f t="shared" si="4"/>
        <v/>
      </c>
      <c r="G103" s="148"/>
      <c r="H103" s="149"/>
      <c r="I103" s="147" t="str">
        <f t="shared" si="5"/>
        <v/>
      </c>
    </row>
    <row r="104" spans="1:9" s="147" customFormat="1" ht="17.399999999999999">
      <c r="A104" s="145"/>
      <c r="B104" s="146"/>
      <c r="C104" s="147" t="str">
        <f t="shared" si="3"/>
        <v/>
      </c>
      <c r="D104" s="148"/>
      <c r="E104" s="149"/>
      <c r="F104" s="147" t="str">
        <f t="shared" si="4"/>
        <v/>
      </c>
      <c r="G104" s="148"/>
      <c r="H104" s="149"/>
      <c r="I104" s="147" t="str">
        <f t="shared" si="5"/>
        <v/>
      </c>
    </row>
    <row r="105" spans="1:9" s="147" customFormat="1" ht="17.399999999999999">
      <c r="A105" s="145"/>
      <c r="B105" s="146"/>
      <c r="C105" s="147" t="str">
        <f t="shared" si="3"/>
        <v/>
      </c>
      <c r="D105" s="148"/>
      <c r="E105" s="149"/>
      <c r="F105" s="147" t="str">
        <f t="shared" si="4"/>
        <v/>
      </c>
      <c r="G105" s="148"/>
      <c r="H105" s="149"/>
      <c r="I105" s="147" t="str">
        <f t="shared" si="5"/>
        <v/>
      </c>
    </row>
    <row r="106" spans="1:9" s="147" customFormat="1" ht="17.399999999999999">
      <c r="A106" s="145"/>
      <c r="B106" s="146"/>
      <c r="C106" s="147" t="str">
        <f t="shared" si="3"/>
        <v/>
      </c>
      <c r="D106" s="148"/>
      <c r="E106" s="149"/>
      <c r="F106" s="147" t="str">
        <f t="shared" si="4"/>
        <v/>
      </c>
      <c r="G106" s="148"/>
      <c r="H106" s="149"/>
      <c r="I106" s="147" t="str">
        <f t="shared" si="5"/>
        <v/>
      </c>
    </row>
    <row r="107" spans="1:9" s="147" customFormat="1" ht="17.399999999999999">
      <c r="A107" s="145"/>
      <c r="B107" s="146"/>
      <c r="C107" s="147" t="str">
        <f t="shared" si="3"/>
        <v/>
      </c>
      <c r="D107" s="148"/>
      <c r="E107" s="149"/>
      <c r="F107" s="147" t="str">
        <f t="shared" si="4"/>
        <v/>
      </c>
      <c r="G107" s="148"/>
      <c r="H107" s="149"/>
      <c r="I107" s="147" t="str">
        <f t="shared" si="5"/>
        <v/>
      </c>
    </row>
    <row r="108" spans="1:9" s="147" customFormat="1" ht="17.399999999999999">
      <c r="A108" s="145"/>
      <c r="B108" s="146"/>
      <c r="C108" s="147" t="str">
        <f t="shared" si="3"/>
        <v/>
      </c>
      <c r="D108" s="148"/>
      <c r="E108" s="149"/>
      <c r="F108" s="147" t="str">
        <f t="shared" si="4"/>
        <v/>
      </c>
      <c r="G108" s="148"/>
      <c r="H108" s="149"/>
      <c r="I108" s="147" t="str">
        <f t="shared" si="5"/>
        <v/>
      </c>
    </row>
    <row r="109" spans="1:9" s="147" customFormat="1" ht="17.399999999999999">
      <c r="A109" s="145"/>
      <c r="B109" s="146"/>
      <c r="C109" s="147" t="str">
        <f t="shared" si="3"/>
        <v/>
      </c>
      <c r="D109" s="148"/>
      <c r="E109" s="149"/>
      <c r="F109" s="147" t="str">
        <f t="shared" si="4"/>
        <v/>
      </c>
      <c r="G109" s="148"/>
      <c r="H109" s="149"/>
      <c r="I109" s="147" t="str">
        <f t="shared" si="5"/>
        <v/>
      </c>
    </row>
    <row r="110" spans="1:9" s="147" customFormat="1" ht="17.399999999999999">
      <c r="A110" s="145"/>
      <c r="B110" s="146"/>
      <c r="C110" s="147" t="str">
        <f t="shared" si="3"/>
        <v/>
      </c>
      <c r="D110" s="148"/>
      <c r="E110" s="149"/>
      <c r="F110" s="147" t="str">
        <f t="shared" si="4"/>
        <v/>
      </c>
      <c r="G110" s="148"/>
      <c r="H110" s="149"/>
      <c r="I110" s="147" t="str">
        <f t="shared" si="5"/>
        <v/>
      </c>
    </row>
    <row r="111" spans="1:9" s="147" customFormat="1" ht="17.399999999999999">
      <c r="A111" s="145"/>
      <c r="B111" s="146"/>
      <c r="C111" s="147" t="str">
        <f t="shared" si="3"/>
        <v/>
      </c>
      <c r="D111" s="148"/>
      <c r="E111" s="149"/>
      <c r="F111" s="147" t="str">
        <f t="shared" si="4"/>
        <v/>
      </c>
      <c r="G111" s="148"/>
      <c r="H111" s="149"/>
      <c r="I111" s="147" t="str">
        <f t="shared" si="5"/>
        <v/>
      </c>
    </row>
    <row r="112" spans="1:9" s="147" customFormat="1" ht="17.399999999999999">
      <c r="A112" s="145"/>
      <c r="B112" s="146"/>
      <c r="C112" s="147" t="str">
        <f t="shared" si="3"/>
        <v/>
      </c>
      <c r="D112" s="148"/>
      <c r="E112" s="149"/>
      <c r="F112" s="147" t="str">
        <f t="shared" si="4"/>
        <v/>
      </c>
      <c r="G112" s="148"/>
      <c r="H112" s="149"/>
      <c r="I112" s="147" t="str">
        <f t="shared" si="5"/>
        <v/>
      </c>
    </row>
    <row r="113" spans="1:9" s="147" customFormat="1" ht="17.399999999999999">
      <c r="A113" s="145"/>
      <c r="B113" s="146"/>
      <c r="C113" s="147" t="str">
        <f t="shared" si="3"/>
        <v/>
      </c>
      <c r="D113" s="148"/>
      <c r="E113" s="149"/>
      <c r="F113" s="147" t="str">
        <f t="shared" si="4"/>
        <v/>
      </c>
      <c r="G113" s="148"/>
      <c r="H113" s="149"/>
      <c r="I113" s="147" t="str">
        <f t="shared" si="5"/>
        <v/>
      </c>
    </row>
    <row r="114" spans="1:9" s="147" customFormat="1" ht="17.399999999999999">
      <c r="A114" s="145"/>
      <c r="B114" s="146"/>
      <c r="C114" s="147" t="str">
        <f t="shared" si="3"/>
        <v/>
      </c>
      <c r="D114" s="148"/>
      <c r="E114" s="149"/>
      <c r="F114" s="147" t="str">
        <f t="shared" si="4"/>
        <v/>
      </c>
      <c r="G114" s="148"/>
      <c r="H114" s="149"/>
      <c r="I114" s="147" t="str">
        <f t="shared" si="5"/>
        <v/>
      </c>
    </row>
    <row r="115" spans="1:9" s="147" customFormat="1" ht="17.399999999999999">
      <c r="A115" s="145"/>
      <c r="B115" s="146"/>
      <c r="C115" s="147" t="str">
        <f t="shared" si="3"/>
        <v/>
      </c>
      <c r="D115" s="148"/>
      <c r="E115" s="149"/>
      <c r="F115" s="147" t="str">
        <f t="shared" si="4"/>
        <v/>
      </c>
      <c r="G115" s="148"/>
      <c r="H115" s="149"/>
      <c r="I115" s="147" t="str">
        <f t="shared" si="5"/>
        <v/>
      </c>
    </row>
    <row r="116" spans="1:9" s="147" customFormat="1" ht="17.399999999999999">
      <c r="A116" s="145"/>
      <c r="B116" s="146"/>
      <c r="C116" s="147" t="str">
        <f t="shared" si="3"/>
        <v/>
      </c>
      <c r="D116" s="148"/>
      <c r="E116" s="149"/>
      <c r="F116" s="147" t="str">
        <f t="shared" si="4"/>
        <v/>
      </c>
      <c r="G116" s="148"/>
      <c r="H116" s="149"/>
      <c r="I116" s="147" t="str">
        <f t="shared" si="5"/>
        <v/>
      </c>
    </row>
    <row r="117" spans="1:9" s="147" customFormat="1" ht="17.399999999999999">
      <c r="A117" s="145"/>
      <c r="B117" s="146"/>
      <c r="C117" s="147" t="str">
        <f t="shared" si="3"/>
        <v/>
      </c>
      <c r="D117" s="148"/>
      <c r="E117" s="149"/>
      <c r="F117" s="147" t="str">
        <f t="shared" si="4"/>
        <v/>
      </c>
      <c r="G117" s="148"/>
      <c r="H117" s="149"/>
      <c r="I117" s="147" t="str">
        <f t="shared" si="5"/>
        <v/>
      </c>
    </row>
    <row r="118" spans="1:9" s="147" customFormat="1" ht="17.399999999999999">
      <c r="A118" s="145"/>
      <c r="B118" s="146"/>
      <c r="C118" s="147" t="str">
        <f t="shared" si="3"/>
        <v/>
      </c>
      <c r="D118" s="148"/>
      <c r="E118" s="149"/>
      <c r="F118" s="147" t="str">
        <f t="shared" si="4"/>
        <v/>
      </c>
      <c r="G118" s="148"/>
      <c r="H118" s="149"/>
      <c r="I118" s="147" t="str">
        <f t="shared" si="5"/>
        <v/>
      </c>
    </row>
    <row r="119" spans="1:9" s="147" customFormat="1" ht="17.399999999999999">
      <c r="A119" s="145"/>
      <c r="B119" s="146"/>
      <c r="C119" s="147" t="str">
        <f t="shared" si="3"/>
        <v/>
      </c>
      <c r="D119" s="148"/>
      <c r="E119" s="149"/>
      <c r="F119" s="147" t="str">
        <f t="shared" si="4"/>
        <v/>
      </c>
      <c r="G119" s="148"/>
      <c r="H119" s="149"/>
      <c r="I119" s="147" t="str">
        <f t="shared" si="5"/>
        <v/>
      </c>
    </row>
    <row r="120" spans="1:9" s="147" customFormat="1" ht="17.399999999999999">
      <c r="A120" s="145"/>
      <c r="B120" s="146"/>
      <c r="C120" s="147" t="str">
        <f t="shared" si="3"/>
        <v/>
      </c>
      <c r="D120" s="148"/>
      <c r="E120" s="149"/>
      <c r="F120" s="147" t="str">
        <f t="shared" si="4"/>
        <v/>
      </c>
      <c r="G120" s="148"/>
      <c r="H120" s="149"/>
      <c r="I120" s="147" t="str">
        <f t="shared" si="5"/>
        <v/>
      </c>
    </row>
    <row r="121" spans="1:9" s="147" customFormat="1" ht="17.399999999999999">
      <c r="A121" s="145"/>
      <c r="B121" s="146"/>
      <c r="C121" s="147" t="str">
        <f t="shared" si="3"/>
        <v/>
      </c>
      <c r="D121" s="148"/>
      <c r="E121" s="149"/>
      <c r="F121" s="147" t="str">
        <f t="shared" si="4"/>
        <v/>
      </c>
      <c r="G121" s="148"/>
      <c r="H121" s="149"/>
      <c r="I121" s="147" t="str">
        <f t="shared" si="5"/>
        <v/>
      </c>
    </row>
    <row r="122" spans="1:9" s="147" customFormat="1" ht="17.399999999999999">
      <c r="A122" s="145"/>
      <c r="B122" s="146"/>
      <c r="C122" s="147" t="str">
        <f t="shared" si="3"/>
        <v/>
      </c>
      <c r="D122" s="148"/>
      <c r="E122" s="149"/>
      <c r="F122" s="147" t="str">
        <f t="shared" si="4"/>
        <v/>
      </c>
      <c r="G122" s="148"/>
      <c r="H122" s="149"/>
      <c r="I122" s="147" t="str">
        <f t="shared" si="5"/>
        <v/>
      </c>
    </row>
    <row r="123" spans="1:9" s="147" customFormat="1" ht="17.399999999999999">
      <c r="A123" s="145"/>
      <c r="B123" s="151"/>
      <c r="C123" s="147" t="str">
        <f t="shared" si="3"/>
        <v/>
      </c>
      <c r="D123" s="148"/>
      <c r="E123" s="149"/>
      <c r="F123" s="147" t="str">
        <f t="shared" si="4"/>
        <v/>
      </c>
      <c r="G123" s="148"/>
      <c r="H123" s="149"/>
      <c r="I123" s="147" t="str">
        <f t="shared" si="5"/>
        <v/>
      </c>
    </row>
    <row r="124" spans="1:9" s="147" customFormat="1" ht="17.399999999999999">
      <c r="A124" s="145"/>
      <c r="B124" s="146"/>
      <c r="C124" s="147" t="str">
        <f t="shared" si="3"/>
        <v/>
      </c>
      <c r="D124" s="148"/>
      <c r="E124" s="149"/>
      <c r="F124" s="147" t="str">
        <f t="shared" si="4"/>
        <v/>
      </c>
      <c r="G124" s="148"/>
      <c r="H124" s="149"/>
      <c r="I124" s="147" t="str">
        <f t="shared" si="5"/>
        <v/>
      </c>
    </row>
    <row r="125" spans="1:9" s="147" customFormat="1" ht="17.399999999999999">
      <c r="A125" s="145"/>
      <c r="B125" s="146"/>
      <c r="C125" s="147" t="str">
        <f t="shared" si="3"/>
        <v/>
      </c>
      <c r="D125" s="148"/>
      <c r="E125" s="149"/>
      <c r="F125" s="147" t="str">
        <f t="shared" si="4"/>
        <v/>
      </c>
      <c r="G125" s="148"/>
      <c r="H125" s="149"/>
      <c r="I125" s="147" t="str">
        <f t="shared" si="5"/>
        <v/>
      </c>
    </row>
    <row r="126" spans="1:9" s="147" customFormat="1" ht="17.399999999999999">
      <c r="A126" s="145"/>
      <c r="B126" s="146"/>
      <c r="C126" s="147" t="str">
        <f t="shared" si="3"/>
        <v/>
      </c>
      <c r="D126" s="148"/>
      <c r="E126" s="149"/>
      <c r="F126" s="147" t="str">
        <f t="shared" si="4"/>
        <v/>
      </c>
      <c r="G126" s="148"/>
      <c r="H126" s="149"/>
      <c r="I126" s="147" t="str">
        <f t="shared" si="5"/>
        <v/>
      </c>
    </row>
    <row r="127" spans="1:9" s="147" customFormat="1" ht="17.399999999999999">
      <c r="A127" s="145"/>
      <c r="B127" s="146"/>
      <c r="C127" s="147" t="str">
        <f t="shared" si="3"/>
        <v/>
      </c>
      <c r="D127" s="148"/>
      <c r="E127" s="149"/>
      <c r="F127" s="147" t="str">
        <f t="shared" si="4"/>
        <v/>
      </c>
      <c r="G127" s="148"/>
      <c r="H127" s="149"/>
      <c r="I127" s="147" t="str">
        <f t="shared" si="5"/>
        <v/>
      </c>
    </row>
    <row r="128" spans="1:9" s="147" customFormat="1" ht="17.399999999999999">
      <c r="A128" s="145"/>
      <c r="B128" s="146"/>
      <c r="C128" s="147" t="str">
        <f t="shared" si="3"/>
        <v/>
      </c>
      <c r="D128" s="148"/>
      <c r="E128" s="149"/>
      <c r="F128" s="147" t="str">
        <f t="shared" si="4"/>
        <v/>
      </c>
      <c r="G128" s="148"/>
      <c r="H128" s="149"/>
      <c r="I128" s="147" t="str">
        <f t="shared" si="5"/>
        <v/>
      </c>
    </row>
    <row r="129" spans="1:9" s="147" customFormat="1" ht="17.399999999999999">
      <c r="A129" s="145"/>
      <c r="B129" s="146"/>
      <c r="C129" s="147" t="str">
        <f t="shared" si="3"/>
        <v/>
      </c>
      <c r="D129" s="148"/>
      <c r="E129" s="149"/>
      <c r="F129" s="147" t="str">
        <f t="shared" si="4"/>
        <v/>
      </c>
      <c r="G129" s="148"/>
      <c r="H129" s="149"/>
      <c r="I129" s="147" t="str">
        <f t="shared" si="5"/>
        <v/>
      </c>
    </row>
    <row r="130" spans="1:9" s="147" customFormat="1" ht="17.399999999999999">
      <c r="A130" s="145"/>
      <c r="B130" s="146"/>
      <c r="C130" s="147" t="str">
        <f t="shared" si="3"/>
        <v/>
      </c>
      <c r="D130" s="148"/>
      <c r="E130" s="149"/>
      <c r="F130" s="147" t="str">
        <f t="shared" si="4"/>
        <v/>
      </c>
      <c r="G130" s="148"/>
      <c r="H130" s="149"/>
      <c r="I130" s="147" t="str">
        <f t="shared" si="5"/>
        <v/>
      </c>
    </row>
    <row r="131" spans="1:9" s="147" customFormat="1" ht="17.399999999999999">
      <c r="A131" s="145"/>
      <c r="B131" s="146"/>
      <c r="C131" s="147" t="str">
        <f t="shared" si="3"/>
        <v/>
      </c>
      <c r="D131" s="148"/>
      <c r="E131" s="149"/>
      <c r="F131" s="147" t="str">
        <f t="shared" si="4"/>
        <v/>
      </c>
      <c r="G131" s="148"/>
      <c r="H131" s="149"/>
      <c r="I131" s="147" t="str">
        <f t="shared" si="5"/>
        <v/>
      </c>
    </row>
    <row r="132" spans="1:9" s="147" customFormat="1" ht="17.399999999999999">
      <c r="A132" s="145"/>
      <c r="B132" s="146"/>
      <c r="C132" s="147" t="str">
        <f t="shared" si="3"/>
        <v/>
      </c>
      <c r="D132" s="148"/>
      <c r="E132" s="149"/>
      <c r="F132" s="147" t="str">
        <f t="shared" si="4"/>
        <v/>
      </c>
      <c r="G132" s="148"/>
      <c r="H132" s="149"/>
      <c r="I132" s="147" t="str">
        <f t="shared" si="5"/>
        <v/>
      </c>
    </row>
    <row r="133" spans="1:9" s="147" customFormat="1" ht="17.399999999999999">
      <c r="A133" s="145"/>
      <c r="B133" s="146"/>
      <c r="C133" s="147" t="str">
        <f t="shared" ref="C133:C196" si="6">IF(B133&gt;0,TEXT(B133,"(aaa)"),"")</f>
        <v/>
      </c>
      <c r="D133" s="148"/>
      <c r="E133" s="149"/>
      <c r="F133" s="147" t="str">
        <f t="shared" ref="F133:F196" si="7">IF(E133&gt;0,TEXT(E133,"(aaa)"),"")</f>
        <v/>
      </c>
      <c r="G133" s="148"/>
      <c r="H133" s="149"/>
      <c r="I133" s="147" t="str">
        <f t="shared" ref="I133:I196" si="8">IF(H133&gt;0,TEXT(H133,"(aaa)"),"")</f>
        <v/>
      </c>
    </row>
    <row r="134" spans="1:9" s="147" customFormat="1" ht="17.399999999999999">
      <c r="A134" s="145"/>
      <c r="B134" s="146"/>
      <c r="C134" s="147" t="str">
        <f t="shared" si="6"/>
        <v/>
      </c>
      <c r="D134" s="148"/>
      <c r="E134" s="149"/>
      <c r="F134" s="147" t="str">
        <f t="shared" si="7"/>
        <v/>
      </c>
      <c r="G134" s="148"/>
      <c r="H134" s="149"/>
      <c r="I134" s="147" t="str">
        <f t="shared" si="8"/>
        <v/>
      </c>
    </row>
    <row r="135" spans="1:9" s="147" customFormat="1" ht="17.399999999999999">
      <c r="A135" s="145"/>
      <c r="B135" s="146"/>
      <c r="C135" s="147" t="str">
        <f t="shared" si="6"/>
        <v/>
      </c>
      <c r="D135" s="148"/>
      <c r="E135" s="149"/>
      <c r="F135" s="147" t="str">
        <f t="shared" si="7"/>
        <v/>
      </c>
      <c r="G135" s="148"/>
      <c r="H135" s="149"/>
      <c r="I135" s="147" t="str">
        <f t="shared" si="8"/>
        <v/>
      </c>
    </row>
    <row r="136" spans="1:9" s="147" customFormat="1" ht="17.399999999999999">
      <c r="A136" s="145"/>
      <c r="B136" s="146"/>
      <c r="C136" s="147" t="str">
        <f t="shared" si="6"/>
        <v/>
      </c>
      <c r="D136" s="148"/>
      <c r="E136" s="149"/>
      <c r="F136" s="147" t="str">
        <f t="shared" si="7"/>
        <v/>
      </c>
      <c r="G136" s="148"/>
      <c r="H136" s="149"/>
      <c r="I136" s="147" t="str">
        <f t="shared" si="8"/>
        <v/>
      </c>
    </row>
    <row r="137" spans="1:9" s="147" customFormat="1" ht="17.399999999999999">
      <c r="A137" s="145"/>
      <c r="B137" s="146"/>
      <c r="C137" s="147" t="str">
        <f t="shared" si="6"/>
        <v/>
      </c>
      <c r="D137" s="148"/>
      <c r="E137" s="149"/>
      <c r="F137" s="147" t="str">
        <f t="shared" si="7"/>
        <v/>
      </c>
      <c r="G137" s="148"/>
      <c r="H137" s="149"/>
      <c r="I137" s="147" t="str">
        <f t="shared" si="8"/>
        <v/>
      </c>
    </row>
    <row r="138" spans="1:9" s="147" customFormat="1" ht="17.399999999999999">
      <c r="A138" s="145"/>
      <c r="B138" s="146"/>
      <c r="C138" s="147" t="str">
        <f t="shared" si="6"/>
        <v/>
      </c>
      <c r="D138" s="148"/>
      <c r="E138" s="149"/>
      <c r="F138" s="147" t="str">
        <f t="shared" si="7"/>
        <v/>
      </c>
      <c r="G138" s="148"/>
      <c r="H138" s="149"/>
      <c r="I138" s="147" t="str">
        <f t="shared" si="8"/>
        <v/>
      </c>
    </row>
    <row r="139" spans="1:9" s="147" customFormat="1" ht="17.399999999999999">
      <c r="A139" s="145"/>
      <c r="B139" s="146"/>
      <c r="C139" s="147" t="str">
        <f t="shared" si="6"/>
        <v/>
      </c>
      <c r="D139" s="148"/>
      <c r="E139" s="149"/>
      <c r="F139" s="147" t="str">
        <f t="shared" si="7"/>
        <v/>
      </c>
      <c r="G139" s="148"/>
      <c r="H139" s="149"/>
      <c r="I139" s="147" t="str">
        <f t="shared" si="8"/>
        <v/>
      </c>
    </row>
    <row r="140" spans="1:9" s="147" customFormat="1" ht="17.399999999999999">
      <c r="A140" s="145"/>
      <c r="B140" s="146"/>
      <c r="C140" s="147" t="str">
        <f t="shared" si="6"/>
        <v/>
      </c>
      <c r="D140" s="148"/>
      <c r="E140" s="149"/>
      <c r="F140" s="147" t="str">
        <f t="shared" si="7"/>
        <v/>
      </c>
      <c r="G140" s="148"/>
      <c r="H140" s="149"/>
      <c r="I140" s="147" t="str">
        <f t="shared" si="8"/>
        <v/>
      </c>
    </row>
    <row r="141" spans="1:9" s="147" customFormat="1" ht="17.399999999999999">
      <c r="A141" s="145"/>
      <c r="B141" s="146"/>
      <c r="C141" s="147" t="str">
        <f t="shared" si="6"/>
        <v/>
      </c>
      <c r="D141" s="148"/>
      <c r="E141" s="149"/>
      <c r="F141" s="147" t="str">
        <f t="shared" si="7"/>
        <v/>
      </c>
      <c r="G141" s="148"/>
      <c r="H141" s="149"/>
      <c r="I141" s="147" t="str">
        <f t="shared" si="8"/>
        <v/>
      </c>
    </row>
    <row r="142" spans="1:9" s="147" customFormat="1" ht="17.399999999999999">
      <c r="A142" s="145"/>
      <c r="B142" s="146"/>
      <c r="C142" s="147" t="str">
        <f t="shared" si="6"/>
        <v/>
      </c>
      <c r="D142" s="148"/>
      <c r="E142" s="149"/>
      <c r="F142" s="147" t="str">
        <f t="shared" si="7"/>
        <v/>
      </c>
      <c r="G142" s="148"/>
      <c r="H142" s="149"/>
      <c r="I142" s="147" t="str">
        <f t="shared" si="8"/>
        <v/>
      </c>
    </row>
    <row r="143" spans="1:9" s="147" customFormat="1" ht="17.399999999999999">
      <c r="A143" s="145"/>
      <c r="B143" s="146"/>
      <c r="C143" s="147" t="str">
        <f t="shared" si="6"/>
        <v/>
      </c>
      <c r="D143" s="148"/>
      <c r="E143" s="149"/>
      <c r="F143" s="147" t="str">
        <f t="shared" si="7"/>
        <v/>
      </c>
      <c r="G143" s="148"/>
      <c r="H143" s="149"/>
      <c r="I143" s="147" t="str">
        <f t="shared" si="8"/>
        <v/>
      </c>
    </row>
    <row r="144" spans="1:9" s="147" customFormat="1" ht="17.399999999999999">
      <c r="A144" s="145"/>
      <c r="B144" s="146"/>
      <c r="C144" s="147" t="str">
        <f t="shared" si="6"/>
        <v/>
      </c>
      <c r="D144" s="148"/>
      <c r="E144" s="149"/>
      <c r="F144" s="147" t="str">
        <f t="shared" si="7"/>
        <v/>
      </c>
      <c r="G144" s="148"/>
      <c r="H144" s="149"/>
      <c r="I144" s="147" t="str">
        <f t="shared" si="8"/>
        <v/>
      </c>
    </row>
    <row r="145" spans="1:9" s="147" customFormat="1" ht="17.399999999999999">
      <c r="A145" s="145"/>
      <c r="B145" s="146"/>
      <c r="C145" s="147" t="str">
        <f t="shared" si="6"/>
        <v/>
      </c>
      <c r="D145" s="148"/>
      <c r="E145" s="149"/>
      <c r="F145" s="147" t="str">
        <f t="shared" si="7"/>
        <v/>
      </c>
      <c r="G145" s="148"/>
      <c r="H145" s="149"/>
      <c r="I145" s="147" t="str">
        <f t="shared" si="8"/>
        <v/>
      </c>
    </row>
    <row r="146" spans="1:9" s="147" customFormat="1" ht="17.399999999999999">
      <c r="A146" s="145"/>
      <c r="B146" s="146"/>
      <c r="C146" s="147" t="str">
        <f t="shared" si="6"/>
        <v/>
      </c>
      <c r="D146" s="148"/>
      <c r="E146" s="149"/>
      <c r="F146" s="147" t="str">
        <f t="shared" si="7"/>
        <v/>
      </c>
      <c r="G146" s="148"/>
      <c r="H146" s="149"/>
      <c r="I146" s="147" t="str">
        <f t="shared" si="8"/>
        <v/>
      </c>
    </row>
    <row r="147" spans="1:9" s="147" customFormat="1" ht="17.399999999999999">
      <c r="A147" s="145"/>
      <c r="B147" s="146"/>
      <c r="C147" s="147" t="str">
        <f t="shared" si="6"/>
        <v/>
      </c>
      <c r="D147" s="148"/>
      <c r="E147" s="149"/>
      <c r="F147" s="147" t="str">
        <f t="shared" si="7"/>
        <v/>
      </c>
      <c r="G147" s="148"/>
      <c r="H147" s="149"/>
      <c r="I147" s="147" t="str">
        <f t="shared" si="8"/>
        <v/>
      </c>
    </row>
    <row r="148" spans="1:9" s="147" customFormat="1" ht="17.399999999999999">
      <c r="A148" s="145"/>
      <c r="B148" s="146"/>
      <c r="C148" s="147" t="str">
        <f t="shared" si="6"/>
        <v/>
      </c>
      <c r="D148" s="148"/>
      <c r="E148" s="149"/>
      <c r="F148" s="147" t="str">
        <f t="shared" si="7"/>
        <v/>
      </c>
      <c r="G148" s="148"/>
      <c r="H148" s="149"/>
      <c r="I148" s="147" t="str">
        <f t="shared" si="8"/>
        <v/>
      </c>
    </row>
    <row r="149" spans="1:9" s="147" customFormat="1" ht="17.399999999999999">
      <c r="A149" s="145"/>
      <c r="B149" s="146"/>
      <c r="C149" s="147" t="str">
        <f t="shared" si="6"/>
        <v/>
      </c>
      <c r="D149" s="148"/>
      <c r="E149" s="149"/>
      <c r="F149" s="147" t="str">
        <f t="shared" si="7"/>
        <v/>
      </c>
      <c r="G149" s="148"/>
      <c r="H149" s="149"/>
      <c r="I149" s="147" t="str">
        <f t="shared" si="8"/>
        <v/>
      </c>
    </row>
    <row r="150" spans="1:9" s="147" customFormat="1" ht="17.399999999999999">
      <c r="A150" s="145"/>
      <c r="B150" s="146"/>
      <c r="C150" s="147" t="str">
        <f t="shared" si="6"/>
        <v/>
      </c>
      <c r="D150" s="148"/>
      <c r="E150" s="149"/>
      <c r="F150" s="147" t="str">
        <f t="shared" si="7"/>
        <v/>
      </c>
      <c r="G150" s="148"/>
      <c r="H150" s="149"/>
      <c r="I150" s="147" t="str">
        <f t="shared" si="8"/>
        <v/>
      </c>
    </row>
    <row r="151" spans="1:9" s="147" customFormat="1" ht="17.399999999999999">
      <c r="A151" s="145"/>
      <c r="B151" s="146"/>
      <c r="C151" s="147" t="str">
        <f t="shared" si="6"/>
        <v/>
      </c>
      <c r="D151" s="148"/>
      <c r="E151" s="149"/>
      <c r="F151" s="147" t="str">
        <f t="shared" si="7"/>
        <v/>
      </c>
      <c r="G151" s="148"/>
      <c r="H151" s="149"/>
      <c r="I151" s="147" t="str">
        <f t="shared" si="8"/>
        <v/>
      </c>
    </row>
    <row r="152" spans="1:9" s="147" customFormat="1" ht="17.399999999999999">
      <c r="A152" s="145"/>
      <c r="B152" s="146"/>
      <c r="C152" s="147" t="str">
        <f t="shared" si="6"/>
        <v/>
      </c>
      <c r="D152" s="148"/>
      <c r="E152" s="149"/>
      <c r="F152" s="147" t="str">
        <f t="shared" si="7"/>
        <v/>
      </c>
      <c r="G152" s="148"/>
      <c r="H152" s="149"/>
      <c r="I152" s="147" t="str">
        <f t="shared" si="8"/>
        <v/>
      </c>
    </row>
    <row r="153" spans="1:9" s="147" customFormat="1" ht="17.399999999999999">
      <c r="A153" s="145"/>
      <c r="B153" s="146"/>
      <c r="C153" s="147" t="str">
        <f t="shared" si="6"/>
        <v/>
      </c>
      <c r="D153" s="148"/>
      <c r="E153" s="149"/>
      <c r="F153" s="147" t="str">
        <f t="shared" si="7"/>
        <v/>
      </c>
      <c r="G153" s="148"/>
      <c r="H153" s="149"/>
      <c r="I153" s="147" t="str">
        <f t="shared" si="8"/>
        <v/>
      </c>
    </row>
    <row r="154" spans="1:9" s="147" customFormat="1" ht="17.399999999999999">
      <c r="A154" s="145"/>
      <c r="B154" s="146"/>
      <c r="C154" s="147" t="str">
        <f t="shared" si="6"/>
        <v/>
      </c>
      <c r="D154" s="148"/>
      <c r="E154" s="149"/>
      <c r="F154" s="147" t="str">
        <f t="shared" si="7"/>
        <v/>
      </c>
      <c r="G154" s="148"/>
      <c r="H154" s="149"/>
      <c r="I154" s="147" t="str">
        <f t="shared" si="8"/>
        <v/>
      </c>
    </row>
    <row r="155" spans="1:9" s="147" customFormat="1" ht="17.399999999999999">
      <c r="A155" s="145"/>
      <c r="B155" s="146"/>
      <c r="C155" s="147" t="str">
        <f t="shared" si="6"/>
        <v/>
      </c>
      <c r="D155" s="148"/>
      <c r="E155" s="149"/>
      <c r="F155" s="147" t="str">
        <f t="shared" si="7"/>
        <v/>
      </c>
      <c r="G155" s="148"/>
      <c r="H155" s="149"/>
      <c r="I155" s="147" t="str">
        <f t="shared" si="8"/>
        <v/>
      </c>
    </row>
    <row r="156" spans="1:9" s="147" customFormat="1" ht="17.399999999999999">
      <c r="A156" s="145"/>
      <c r="B156" s="146"/>
      <c r="C156" s="147" t="str">
        <f t="shared" si="6"/>
        <v/>
      </c>
      <c r="D156" s="148"/>
      <c r="E156" s="149"/>
      <c r="F156" s="147" t="str">
        <f t="shared" si="7"/>
        <v/>
      </c>
      <c r="G156" s="148"/>
      <c r="H156" s="149"/>
      <c r="I156" s="147" t="str">
        <f t="shared" si="8"/>
        <v/>
      </c>
    </row>
    <row r="157" spans="1:9" s="147" customFormat="1" ht="17.399999999999999">
      <c r="A157" s="145"/>
      <c r="B157" s="146"/>
      <c r="C157" s="147" t="str">
        <f t="shared" si="6"/>
        <v/>
      </c>
      <c r="D157" s="148"/>
      <c r="E157" s="149"/>
      <c r="F157" s="147" t="str">
        <f t="shared" si="7"/>
        <v/>
      </c>
      <c r="G157" s="148"/>
      <c r="H157" s="149"/>
      <c r="I157" s="147" t="str">
        <f t="shared" si="8"/>
        <v/>
      </c>
    </row>
    <row r="158" spans="1:9" s="147" customFormat="1" ht="17.399999999999999">
      <c r="A158" s="145"/>
      <c r="B158" s="146"/>
      <c r="C158" s="147" t="str">
        <f t="shared" si="6"/>
        <v/>
      </c>
      <c r="D158" s="148"/>
      <c r="E158" s="149"/>
      <c r="F158" s="147" t="str">
        <f t="shared" si="7"/>
        <v/>
      </c>
      <c r="G158" s="148"/>
      <c r="H158" s="149"/>
      <c r="I158" s="147" t="str">
        <f t="shared" si="8"/>
        <v/>
      </c>
    </row>
    <row r="159" spans="1:9" s="147" customFormat="1" ht="17.399999999999999">
      <c r="A159" s="145"/>
      <c r="B159" s="146"/>
      <c r="C159" s="147" t="str">
        <f t="shared" si="6"/>
        <v/>
      </c>
      <c r="D159" s="148"/>
      <c r="E159" s="149"/>
      <c r="F159" s="147" t="str">
        <f t="shared" si="7"/>
        <v/>
      </c>
      <c r="G159" s="148"/>
      <c r="H159" s="149"/>
      <c r="I159" s="147" t="str">
        <f t="shared" si="8"/>
        <v/>
      </c>
    </row>
    <row r="160" spans="1:9" s="147" customFormat="1" ht="17.399999999999999">
      <c r="A160" s="145"/>
      <c r="B160" s="146"/>
      <c r="C160" s="147" t="str">
        <f t="shared" si="6"/>
        <v/>
      </c>
      <c r="D160" s="148"/>
      <c r="E160" s="149"/>
      <c r="F160" s="147" t="str">
        <f t="shared" si="7"/>
        <v/>
      </c>
      <c r="G160" s="148"/>
      <c r="H160" s="149"/>
      <c r="I160" s="147" t="str">
        <f t="shared" si="8"/>
        <v/>
      </c>
    </row>
    <row r="161" spans="1:9" s="147" customFormat="1" ht="17.399999999999999">
      <c r="A161" s="145"/>
      <c r="B161" s="146"/>
      <c r="C161" s="147" t="str">
        <f t="shared" si="6"/>
        <v/>
      </c>
      <c r="D161" s="148"/>
      <c r="E161" s="149"/>
      <c r="F161" s="147" t="str">
        <f t="shared" si="7"/>
        <v/>
      </c>
      <c r="G161" s="148"/>
      <c r="H161" s="149"/>
      <c r="I161" s="147" t="str">
        <f t="shared" si="8"/>
        <v/>
      </c>
    </row>
    <row r="162" spans="1:9" s="147" customFormat="1" ht="17.399999999999999">
      <c r="A162" s="145"/>
      <c r="B162" s="146"/>
      <c r="C162" s="147" t="str">
        <f t="shared" si="6"/>
        <v/>
      </c>
      <c r="D162" s="148"/>
      <c r="E162" s="149"/>
      <c r="F162" s="147" t="str">
        <f t="shared" si="7"/>
        <v/>
      </c>
      <c r="G162" s="148"/>
      <c r="H162" s="149"/>
      <c r="I162" s="147" t="str">
        <f t="shared" si="8"/>
        <v/>
      </c>
    </row>
    <row r="163" spans="1:9" s="147" customFormat="1" ht="17.399999999999999">
      <c r="A163" s="145"/>
      <c r="B163" s="146"/>
      <c r="C163" s="147" t="str">
        <f t="shared" si="6"/>
        <v/>
      </c>
      <c r="D163" s="148"/>
      <c r="E163" s="149"/>
      <c r="F163" s="147" t="str">
        <f t="shared" si="7"/>
        <v/>
      </c>
      <c r="G163" s="148"/>
      <c r="H163" s="149"/>
      <c r="I163" s="147" t="str">
        <f t="shared" si="8"/>
        <v/>
      </c>
    </row>
    <row r="164" spans="1:9" s="147" customFormat="1" ht="17.399999999999999">
      <c r="A164" s="145"/>
      <c r="B164" s="146"/>
      <c r="C164" s="147" t="str">
        <f t="shared" si="6"/>
        <v/>
      </c>
      <c r="D164" s="148"/>
      <c r="E164" s="149"/>
      <c r="F164" s="147" t="str">
        <f t="shared" si="7"/>
        <v/>
      </c>
      <c r="G164" s="148"/>
      <c r="H164" s="149"/>
      <c r="I164" s="147" t="str">
        <f t="shared" si="8"/>
        <v/>
      </c>
    </row>
    <row r="165" spans="1:9" s="147" customFormat="1" ht="17.399999999999999">
      <c r="A165" s="145"/>
      <c r="B165" s="146"/>
      <c r="C165" s="147" t="str">
        <f t="shared" si="6"/>
        <v/>
      </c>
      <c r="D165" s="148"/>
      <c r="E165" s="149"/>
      <c r="F165" s="147" t="str">
        <f t="shared" si="7"/>
        <v/>
      </c>
      <c r="G165" s="148"/>
      <c r="H165" s="149"/>
      <c r="I165" s="147" t="str">
        <f t="shared" si="8"/>
        <v/>
      </c>
    </row>
    <row r="166" spans="1:9" s="147" customFormat="1" ht="17.399999999999999">
      <c r="A166" s="145"/>
      <c r="B166" s="146"/>
      <c r="C166" s="147" t="str">
        <f t="shared" si="6"/>
        <v/>
      </c>
      <c r="D166" s="148"/>
      <c r="E166" s="149"/>
      <c r="F166" s="147" t="str">
        <f t="shared" si="7"/>
        <v/>
      </c>
      <c r="G166" s="148"/>
      <c r="H166" s="149"/>
      <c r="I166" s="147" t="str">
        <f t="shared" si="8"/>
        <v/>
      </c>
    </row>
    <row r="167" spans="1:9" s="147" customFormat="1" ht="17.399999999999999">
      <c r="A167" s="145"/>
      <c r="B167" s="146"/>
      <c r="C167" s="147" t="str">
        <f t="shared" si="6"/>
        <v/>
      </c>
      <c r="D167" s="148"/>
      <c r="E167" s="149"/>
      <c r="F167" s="147" t="str">
        <f t="shared" si="7"/>
        <v/>
      </c>
      <c r="G167" s="148"/>
      <c r="H167" s="149"/>
      <c r="I167" s="147" t="str">
        <f t="shared" si="8"/>
        <v/>
      </c>
    </row>
    <row r="168" spans="1:9" s="147" customFormat="1" ht="17.399999999999999">
      <c r="A168" s="145"/>
      <c r="B168" s="146"/>
      <c r="C168" s="147" t="str">
        <f t="shared" si="6"/>
        <v/>
      </c>
      <c r="D168" s="148"/>
      <c r="E168" s="149"/>
      <c r="F168" s="147" t="str">
        <f t="shared" si="7"/>
        <v/>
      </c>
      <c r="G168" s="148"/>
      <c r="H168" s="149"/>
      <c r="I168" s="147" t="str">
        <f t="shared" si="8"/>
        <v/>
      </c>
    </row>
    <row r="169" spans="1:9" s="147" customFormat="1" ht="17.399999999999999">
      <c r="A169" s="145"/>
      <c r="B169" s="146"/>
      <c r="C169" s="147" t="str">
        <f t="shared" si="6"/>
        <v/>
      </c>
      <c r="D169" s="148"/>
      <c r="E169" s="149"/>
      <c r="F169" s="147" t="str">
        <f t="shared" si="7"/>
        <v/>
      </c>
      <c r="G169" s="148"/>
      <c r="H169" s="149"/>
      <c r="I169" s="147" t="str">
        <f t="shared" si="8"/>
        <v/>
      </c>
    </row>
    <row r="170" spans="1:9" s="147" customFormat="1" ht="17.399999999999999">
      <c r="A170" s="145"/>
      <c r="B170" s="146"/>
      <c r="C170" s="147" t="str">
        <f t="shared" si="6"/>
        <v/>
      </c>
      <c r="D170" s="148"/>
      <c r="E170" s="149"/>
      <c r="F170" s="147" t="str">
        <f t="shared" si="7"/>
        <v/>
      </c>
      <c r="G170" s="148"/>
      <c r="H170" s="149"/>
      <c r="I170" s="147" t="str">
        <f t="shared" si="8"/>
        <v/>
      </c>
    </row>
    <row r="171" spans="1:9" s="147" customFormat="1" ht="17.399999999999999">
      <c r="A171" s="145"/>
      <c r="B171" s="146"/>
      <c r="C171" s="147" t="str">
        <f t="shared" si="6"/>
        <v/>
      </c>
      <c r="D171" s="148"/>
      <c r="E171" s="149"/>
      <c r="F171" s="147" t="str">
        <f t="shared" si="7"/>
        <v/>
      </c>
      <c r="G171" s="148"/>
      <c r="H171" s="149"/>
      <c r="I171" s="147" t="str">
        <f t="shared" si="8"/>
        <v/>
      </c>
    </row>
    <row r="172" spans="1:9" s="147" customFormat="1" ht="17.399999999999999">
      <c r="A172" s="145"/>
      <c r="B172" s="146"/>
      <c r="C172" s="147" t="str">
        <f t="shared" si="6"/>
        <v/>
      </c>
      <c r="D172" s="148"/>
      <c r="E172" s="149"/>
      <c r="F172" s="147" t="str">
        <f t="shared" si="7"/>
        <v/>
      </c>
      <c r="G172" s="148"/>
      <c r="H172" s="149"/>
      <c r="I172" s="147" t="str">
        <f t="shared" si="8"/>
        <v/>
      </c>
    </row>
    <row r="173" spans="1:9" s="147" customFormat="1" ht="17.399999999999999">
      <c r="A173" s="145"/>
      <c r="B173" s="146"/>
      <c r="C173" s="147" t="str">
        <f t="shared" si="6"/>
        <v/>
      </c>
      <c r="D173" s="148"/>
      <c r="E173" s="149"/>
      <c r="F173" s="147" t="str">
        <f t="shared" si="7"/>
        <v/>
      </c>
      <c r="G173" s="148"/>
      <c r="H173" s="149"/>
      <c r="I173" s="147" t="str">
        <f t="shared" si="8"/>
        <v/>
      </c>
    </row>
    <row r="174" spans="1:9" s="147" customFormat="1" ht="17.399999999999999">
      <c r="A174" s="145"/>
      <c r="B174" s="146"/>
      <c r="C174" s="147" t="str">
        <f t="shared" si="6"/>
        <v/>
      </c>
      <c r="D174" s="148"/>
      <c r="E174" s="149"/>
      <c r="F174" s="147" t="str">
        <f t="shared" si="7"/>
        <v/>
      </c>
      <c r="G174" s="148"/>
      <c r="H174" s="149"/>
      <c r="I174" s="147" t="str">
        <f t="shared" si="8"/>
        <v/>
      </c>
    </row>
    <row r="175" spans="1:9" s="147" customFormat="1" ht="17.399999999999999">
      <c r="A175" s="145"/>
      <c r="B175" s="146"/>
      <c r="C175" s="147" t="str">
        <f t="shared" si="6"/>
        <v/>
      </c>
      <c r="D175" s="148"/>
      <c r="E175" s="149"/>
      <c r="F175" s="147" t="str">
        <f t="shared" si="7"/>
        <v/>
      </c>
      <c r="G175" s="148"/>
      <c r="H175" s="149"/>
      <c r="I175" s="147" t="str">
        <f t="shared" si="8"/>
        <v/>
      </c>
    </row>
    <row r="176" spans="1:9" s="147" customFormat="1" ht="17.399999999999999">
      <c r="A176" s="145"/>
      <c r="B176" s="146"/>
      <c r="C176" s="147" t="str">
        <f t="shared" si="6"/>
        <v/>
      </c>
      <c r="D176" s="148"/>
      <c r="E176" s="149"/>
      <c r="F176" s="147" t="str">
        <f t="shared" si="7"/>
        <v/>
      </c>
      <c r="G176" s="148"/>
      <c r="H176" s="149"/>
      <c r="I176" s="147" t="str">
        <f t="shared" si="8"/>
        <v/>
      </c>
    </row>
    <row r="177" spans="1:9" s="147" customFormat="1" ht="17.399999999999999">
      <c r="A177" s="145"/>
      <c r="B177" s="146"/>
      <c r="C177" s="147" t="str">
        <f t="shared" si="6"/>
        <v/>
      </c>
      <c r="D177" s="148"/>
      <c r="E177" s="149"/>
      <c r="F177" s="147" t="str">
        <f t="shared" si="7"/>
        <v/>
      </c>
      <c r="G177" s="148"/>
      <c r="H177" s="149"/>
      <c r="I177" s="147" t="str">
        <f t="shared" si="8"/>
        <v/>
      </c>
    </row>
    <row r="178" spans="1:9" s="147" customFormat="1" ht="17.399999999999999">
      <c r="A178" s="145"/>
      <c r="B178" s="146"/>
      <c r="C178" s="147" t="str">
        <f t="shared" si="6"/>
        <v/>
      </c>
      <c r="D178" s="148"/>
      <c r="E178" s="149"/>
      <c r="F178" s="147" t="str">
        <f t="shared" si="7"/>
        <v/>
      </c>
      <c r="G178" s="148"/>
      <c r="H178" s="149"/>
      <c r="I178" s="147" t="str">
        <f t="shared" si="8"/>
        <v/>
      </c>
    </row>
    <row r="179" spans="1:9" s="147" customFormat="1" ht="17.399999999999999">
      <c r="A179" s="145"/>
      <c r="B179" s="146"/>
      <c r="C179" s="147" t="str">
        <f t="shared" si="6"/>
        <v/>
      </c>
      <c r="D179" s="148"/>
      <c r="E179" s="149"/>
      <c r="F179" s="147" t="str">
        <f t="shared" si="7"/>
        <v/>
      </c>
      <c r="G179" s="148"/>
      <c r="H179" s="149"/>
      <c r="I179" s="147" t="str">
        <f t="shared" si="8"/>
        <v/>
      </c>
    </row>
    <row r="180" spans="1:9" s="147" customFormat="1" ht="17.399999999999999">
      <c r="A180" s="145"/>
      <c r="B180" s="146"/>
      <c r="C180" s="147" t="str">
        <f t="shared" si="6"/>
        <v/>
      </c>
      <c r="D180" s="148"/>
      <c r="E180" s="149"/>
      <c r="F180" s="147" t="str">
        <f t="shared" si="7"/>
        <v/>
      </c>
      <c r="G180" s="148"/>
      <c r="H180" s="149"/>
      <c r="I180" s="147" t="str">
        <f t="shared" si="8"/>
        <v/>
      </c>
    </row>
    <row r="181" spans="1:9" s="147" customFormat="1" ht="17.399999999999999">
      <c r="A181" s="145"/>
      <c r="B181" s="146"/>
      <c r="C181" s="147" t="str">
        <f t="shared" si="6"/>
        <v/>
      </c>
      <c r="D181" s="148"/>
      <c r="E181" s="149"/>
      <c r="F181" s="147" t="str">
        <f t="shared" si="7"/>
        <v/>
      </c>
      <c r="G181" s="148"/>
      <c r="H181" s="149"/>
      <c r="I181" s="147" t="str">
        <f t="shared" si="8"/>
        <v/>
      </c>
    </row>
    <row r="182" spans="1:9" s="147" customFormat="1" ht="17.399999999999999">
      <c r="A182" s="145"/>
      <c r="B182" s="146"/>
      <c r="C182" s="147" t="str">
        <f t="shared" si="6"/>
        <v/>
      </c>
      <c r="D182" s="148"/>
      <c r="E182" s="149"/>
      <c r="F182" s="147" t="str">
        <f t="shared" si="7"/>
        <v/>
      </c>
      <c r="G182" s="148"/>
      <c r="H182" s="149"/>
      <c r="I182" s="147" t="str">
        <f t="shared" si="8"/>
        <v/>
      </c>
    </row>
    <row r="183" spans="1:9" s="147" customFormat="1" ht="17.399999999999999">
      <c r="A183" s="145"/>
      <c r="B183" s="146"/>
      <c r="C183" s="147" t="str">
        <f t="shared" si="6"/>
        <v/>
      </c>
      <c r="D183" s="148"/>
      <c r="E183" s="149"/>
      <c r="F183" s="147" t="str">
        <f t="shared" si="7"/>
        <v/>
      </c>
      <c r="G183" s="148"/>
      <c r="H183" s="149"/>
      <c r="I183" s="147" t="str">
        <f t="shared" si="8"/>
        <v/>
      </c>
    </row>
    <row r="184" spans="1:9" s="147" customFormat="1" ht="17.399999999999999">
      <c r="A184" s="145"/>
      <c r="B184" s="146"/>
      <c r="C184" s="147" t="str">
        <f t="shared" si="6"/>
        <v/>
      </c>
      <c r="D184" s="148"/>
      <c r="E184" s="149"/>
      <c r="F184" s="147" t="str">
        <f t="shared" si="7"/>
        <v/>
      </c>
      <c r="G184" s="148"/>
      <c r="H184" s="149"/>
      <c r="I184" s="147" t="str">
        <f t="shared" si="8"/>
        <v/>
      </c>
    </row>
    <row r="185" spans="1:9" s="147" customFormat="1" ht="17.399999999999999">
      <c r="A185" s="145"/>
      <c r="B185" s="146"/>
      <c r="C185" s="147" t="str">
        <f t="shared" si="6"/>
        <v/>
      </c>
      <c r="D185" s="148"/>
      <c r="E185" s="149"/>
      <c r="F185" s="147" t="str">
        <f t="shared" si="7"/>
        <v/>
      </c>
      <c r="G185" s="148"/>
      <c r="H185" s="149"/>
      <c r="I185" s="147" t="str">
        <f t="shared" si="8"/>
        <v/>
      </c>
    </row>
    <row r="186" spans="1:9" s="147" customFormat="1" ht="17.399999999999999">
      <c r="A186" s="145"/>
      <c r="B186" s="146"/>
      <c r="C186" s="147" t="str">
        <f t="shared" si="6"/>
        <v/>
      </c>
      <c r="D186" s="148"/>
      <c r="E186" s="149"/>
      <c r="F186" s="147" t="str">
        <f t="shared" si="7"/>
        <v/>
      </c>
      <c r="G186" s="148"/>
      <c r="H186" s="149"/>
      <c r="I186" s="147" t="str">
        <f t="shared" si="8"/>
        <v/>
      </c>
    </row>
    <row r="187" spans="1:9" s="147" customFormat="1" ht="17.399999999999999">
      <c r="A187" s="145"/>
      <c r="B187" s="146"/>
      <c r="C187" s="147" t="str">
        <f t="shared" si="6"/>
        <v/>
      </c>
      <c r="D187" s="148"/>
      <c r="E187" s="149"/>
      <c r="F187" s="147" t="str">
        <f t="shared" si="7"/>
        <v/>
      </c>
      <c r="G187" s="148"/>
      <c r="H187" s="149"/>
      <c r="I187" s="147" t="str">
        <f t="shared" si="8"/>
        <v/>
      </c>
    </row>
    <row r="188" spans="1:9" s="147" customFormat="1" ht="17.399999999999999">
      <c r="A188" s="145"/>
      <c r="B188" s="146"/>
      <c r="C188" s="147" t="str">
        <f t="shared" si="6"/>
        <v/>
      </c>
      <c r="D188" s="148"/>
      <c r="E188" s="149"/>
      <c r="F188" s="147" t="str">
        <f t="shared" si="7"/>
        <v/>
      </c>
      <c r="G188" s="148"/>
      <c r="H188" s="149"/>
      <c r="I188" s="147" t="str">
        <f t="shared" si="8"/>
        <v/>
      </c>
    </row>
    <row r="189" spans="1:9" s="147" customFormat="1" ht="17.399999999999999">
      <c r="A189" s="145"/>
      <c r="B189" s="146"/>
      <c r="C189" s="147" t="str">
        <f t="shared" si="6"/>
        <v/>
      </c>
      <c r="D189" s="148"/>
      <c r="E189" s="149"/>
      <c r="F189" s="147" t="str">
        <f t="shared" si="7"/>
        <v/>
      </c>
      <c r="G189" s="148"/>
      <c r="H189" s="149"/>
      <c r="I189" s="147" t="str">
        <f t="shared" si="8"/>
        <v/>
      </c>
    </row>
    <row r="190" spans="1:9" s="147" customFormat="1" ht="17.399999999999999">
      <c r="A190" s="145"/>
      <c r="B190" s="146"/>
      <c r="C190" s="147" t="str">
        <f t="shared" si="6"/>
        <v/>
      </c>
      <c r="D190" s="148"/>
      <c r="E190" s="149"/>
      <c r="F190" s="147" t="str">
        <f t="shared" si="7"/>
        <v/>
      </c>
      <c r="G190" s="148"/>
      <c r="H190" s="149"/>
      <c r="I190" s="147" t="str">
        <f t="shared" si="8"/>
        <v/>
      </c>
    </row>
    <row r="191" spans="1:9" s="147" customFormat="1" ht="17.399999999999999">
      <c r="A191" s="145"/>
      <c r="B191" s="146"/>
      <c r="C191" s="147" t="str">
        <f t="shared" si="6"/>
        <v/>
      </c>
      <c r="D191" s="148"/>
      <c r="E191" s="149"/>
      <c r="F191" s="147" t="str">
        <f t="shared" si="7"/>
        <v/>
      </c>
      <c r="G191" s="148"/>
      <c r="H191" s="149"/>
      <c r="I191" s="147" t="str">
        <f t="shared" si="8"/>
        <v/>
      </c>
    </row>
    <row r="192" spans="1:9" s="147" customFormat="1" ht="17.399999999999999">
      <c r="A192" s="145"/>
      <c r="B192" s="146"/>
      <c r="C192" s="147" t="str">
        <f t="shared" si="6"/>
        <v/>
      </c>
      <c r="D192" s="148"/>
      <c r="E192" s="149"/>
      <c r="F192" s="147" t="str">
        <f t="shared" si="7"/>
        <v/>
      </c>
      <c r="G192" s="148"/>
      <c r="H192" s="149"/>
      <c r="I192" s="147" t="str">
        <f t="shared" si="8"/>
        <v/>
      </c>
    </row>
    <row r="193" spans="1:9" s="147" customFormat="1" ht="17.399999999999999">
      <c r="A193" s="145"/>
      <c r="B193" s="146"/>
      <c r="C193" s="147" t="str">
        <f t="shared" si="6"/>
        <v/>
      </c>
      <c r="D193" s="148"/>
      <c r="E193" s="149"/>
      <c r="F193" s="147" t="str">
        <f t="shared" si="7"/>
        <v/>
      </c>
      <c r="G193" s="148"/>
      <c r="H193" s="149"/>
      <c r="I193" s="147" t="str">
        <f t="shared" si="8"/>
        <v/>
      </c>
    </row>
    <row r="194" spans="1:9" s="147" customFormat="1" ht="17.399999999999999">
      <c r="A194" s="145"/>
      <c r="B194" s="146"/>
      <c r="C194" s="147" t="str">
        <f t="shared" si="6"/>
        <v/>
      </c>
      <c r="D194" s="148"/>
      <c r="E194" s="149"/>
      <c r="F194" s="147" t="str">
        <f t="shared" si="7"/>
        <v/>
      </c>
      <c r="G194" s="148"/>
      <c r="H194" s="149"/>
      <c r="I194" s="147" t="str">
        <f t="shared" si="8"/>
        <v/>
      </c>
    </row>
    <row r="195" spans="1:9" s="147" customFormat="1" ht="17.399999999999999">
      <c r="A195" s="145"/>
      <c r="B195" s="146"/>
      <c r="C195" s="147" t="str">
        <f t="shared" si="6"/>
        <v/>
      </c>
      <c r="D195" s="148"/>
      <c r="E195" s="149"/>
      <c r="F195" s="147" t="str">
        <f t="shared" si="7"/>
        <v/>
      </c>
      <c r="G195" s="148"/>
      <c r="H195" s="149"/>
      <c r="I195" s="147" t="str">
        <f t="shared" si="8"/>
        <v/>
      </c>
    </row>
    <row r="196" spans="1:9" s="147" customFormat="1" ht="17.399999999999999">
      <c r="A196" s="145"/>
      <c r="B196" s="146"/>
      <c r="C196" s="147" t="str">
        <f t="shared" si="6"/>
        <v/>
      </c>
      <c r="D196" s="148"/>
      <c r="E196" s="149"/>
      <c r="F196" s="147" t="str">
        <f t="shared" si="7"/>
        <v/>
      </c>
      <c r="G196" s="148"/>
      <c r="H196" s="149"/>
      <c r="I196" s="147" t="str">
        <f t="shared" si="8"/>
        <v/>
      </c>
    </row>
    <row r="197" spans="1:9" s="147" customFormat="1" ht="17.399999999999999">
      <c r="A197" s="145"/>
      <c r="B197" s="146"/>
      <c r="C197" s="147" t="str">
        <f t="shared" ref="C197:C260" si="9">IF(B197&gt;0,TEXT(B197,"(aaa)"),"")</f>
        <v/>
      </c>
      <c r="D197" s="148"/>
      <c r="E197" s="149"/>
      <c r="F197" s="147" t="str">
        <f t="shared" ref="F197:F260" si="10">IF(E197&gt;0,TEXT(E197,"(aaa)"),"")</f>
        <v/>
      </c>
      <c r="G197" s="148"/>
      <c r="H197" s="149"/>
      <c r="I197" s="147" t="str">
        <f t="shared" ref="I197:I260" si="11">IF(H197&gt;0,TEXT(H197,"(aaa)"),"")</f>
        <v/>
      </c>
    </row>
    <row r="198" spans="1:9" s="147" customFormat="1" ht="17.399999999999999">
      <c r="A198" s="145"/>
      <c r="B198" s="146"/>
      <c r="C198" s="147" t="str">
        <f t="shared" si="9"/>
        <v/>
      </c>
      <c r="D198" s="148"/>
      <c r="E198" s="149"/>
      <c r="F198" s="147" t="str">
        <f t="shared" si="10"/>
        <v/>
      </c>
      <c r="G198" s="148"/>
      <c r="H198" s="149"/>
      <c r="I198" s="147" t="str">
        <f t="shared" si="11"/>
        <v/>
      </c>
    </row>
    <row r="199" spans="1:9" s="147" customFormat="1" ht="17.399999999999999">
      <c r="A199" s="145"/>
      <c r="B199" s="146"/>
      <c r="C199" s="147" t="str">
        <f t="shared" si="9"/>
        <v/>
      </c>
      <c r="D199" s="148"/>
      <c r="E199" s="149"/>
      <c r="F199" s="147" t="str">
        <f t="shared" si="10"/>
        <v/>
      </c>
      <c r="G199" s="148"/>
      <c r="H199" s="149"/>
      <c r="I199" s="147" t="str">
        <f t="shared" si="11"/>
        <v/>
      </c>
    </row>
    <row r="200" spans="1:9" s="147" customFormat="1" ht="17.399999999999999">
      <c r="A200" s="145"/>
      <c r="B200" s="146"/>
      <c r="C200" s="147" t="str">
        <f t="shared" si="9"/>
        <v/>
      </c>
      <c r="D200" s="148"/>
      <c r="E200" s="149"/>
      <c r="F200" s="147" t="str">
        <f t="shared" si="10"/>
        <v/>
      </c>
      <c r="G200" s="148"/>
      <c r="H200" s="149"/>
      <c r="I200" s="147" t="str">
        <f t="shared" si="11"/>
        <v/>
      </c>
    </row>
    <row r="201" spans="1:9" s="147" customFormat="1" ht="17.399999999999999">
      <c r="A201" s="145"/>
      <c r="B201" s="146"/>
      <c r="C201" s="147" t="str">
        <f t="shared" si="9"/>
        <v/>
      </c>
      <c r="D201" s="148"/>
      <c r="E201" s="149"/>
      <c r="F201" s="147" t="str">
        <f t="shared" si="10"/>
        <v/>
      </c>
      <c r="G201" s="148"/>
      <c r="H201" s="149"/>
      <c r="I201" s="147" t="str">
        <f t="shared" si="11"/>
        <v/>
      </c>
    </row>
    <row r="202" spans="1:9" s="147" customFormat="1" ht="17.399999999999999">
      <c r="A202" s="145"/>
      <c r="B202" s="146"/>
      <c r="C202" s="147" t="str">
        <f t="shared" si="9"/>
        <v/>
      </c>
      <c r="D202" s="148"/>
      <c r="E202" s="149"/>
      <c r="F202" s="147" t="str">
        <f t="shared" si="10"/>
        <v/>
      </c>
      <c r="G202" s="148"/>
      <c r="H202" s="149"/>
      <c r="I202" s="147" t="str">
        <f t="shared" si="11"/>
        <v/>
      </c>
    </row>
    <row r="203" spans="1:9" s="147" customFormat="1" ht="17.399999999999999">
      <c r="A203" s="145"/>
      <c r="B203" s="146"/>
      <c r="C203" s="147" t="str">
        <f t="shared" si="9"/>
        <v/>
      </c>
      <c r="D203" s="148"/>
      <c r="E203" s="149"/>
      <c r="F203" s="147" t="str">
        <f t="shared" si="10"/>
        <v/>
      </c>
      <c r="G203" s="148"/>
      <c r="H203" s="149"/>
      <c r="I203" s="147" t="str">
        <f t="shared" si="11"/>
        <v/>
      </c>
    </row>
    <row r="204" spans="1:9" s="147" customFormat="1" ht="17.399999999999999">
      <c r="A204" s="145"/>
      <c r="B204" s="146"/>
      <c r="C204" s="147" t="str">
        <f t="shared" si="9"/>
        <v/>
      </c>
      <c r="D204" s="148"/>
      <c r="E204" s="149"/>
      <c r="F204" s="147" t="str">
        <f t="shared" si="10"/>
        <v/>
      </c>
      <c r="G204" s="148"/>
      <c r="H204" s="149"/>
      <c r="I204" s="147" t="str">
        <f t="shared" si="11"/>
        <v/>
      </c>
    </row>
    <row r="205" spans="1:9" s="147" customFormat="1" ht="17.399999999999999">
      <c r="A205" s="145"/>
      <c r="B205" s="146"/>
      <c r="C205" s="147" t="str">
        <f t="shared" si="9"/>
        <v/>
      </c>
      <c r="D205" s="148"/>
      <c r="E205" s="149"/>
      <c r="F205" s="147" t="str">
        <f t="shared" si="10"/>
        <v/>
      </c>
      <c r="G205" s="148"/>
      <c r="H205" s="149"/>
      <c r="I205" s="147" t="str">
        <f t="shared" si="11"/>
        <v/>
      </c>
    </row>
    <row r="206" spans="1:9" s="147" customFormat="1" ht="17.399999999999999">
      <c r="A206" s="145"/>
      <c r="B206" s="146"/>
      <c r="C206" s="147" t="str">
        <f t="shared" si="9"/>
        <v/>
      </c>
      <c r="D206" s="148"/>
      <c r="E206" s="149"/>
      <c r="F206" s="147" t="str">
        <f t="shared" si="10"/>
        <v/>
      </c>
      <c r="G206" s="148"/>
      <c r="H206" s="149"/>
      <c r="I206" s="147" t="str">
        <f t="shared" si="11"/>
        <v/>
      </c>
    </row>
    <row r="207" spans="1:9" s="147" customFormat="1" ht="17.399999999999999">
      <c r="A207" s="145"/>
      <c r="B207" s="146"/>
      <c r="C207" s="147" t="str">
        <f t="shared" si="9"/>
        <v/>
      </c>
      <c r="D207" s="148"/>
      <c r="E207" s="149"/>
      <c r="F207" s="147" t="str">
        <f t="shared" si="10"/>
        <v/>
      </c>
      <c r="G207" s="148"/>
      <c r="H207" s="149"/>
      <c r="I207" s="147" t="str">
        <f t="shared" si="11"/>
        <v/>
      </c>
    </row>
    <row r="208" spans="1:9" s="147" customFormat="1" ht="17.399999999999999">
      <c r="A208" s="145"/>
      <c r="B208" s="146"/>
      <c r="C208" s="147" t="str">
        <f t="shared" si="9"/>
        <v/>
      </c>
      <c r="D208" s="148"/>
      <c r="E208" s="149"/>
      <c r="F208" s="147" t="str">
        <f t="shared" si="10"/>
        <v/>
      </c>
      <c r="G208" s="148"/>
      <c r="H208" s="149"/>
      <c r="I208" s="147" t="str">
        <f t="shared" si="11"/>
        <v/>
      </c>
    </row>
    <row r="209" spans="1:9" s="147" customFormat="1" ht="17.399999999999999">
      <c r="A209" s="145"/>
      <c r="B209" s="146"/>
      <c r="C209" s="147" t="str">
        <f t="shared" si="9"/>
        <v/>
      </c>
      <c r="D209" s="148"/>
      <c r="E209" s="149"/>
      <c r="F209" s="147" t="str">
        <f t="shared" si="10"/>
        <v/>
      </c>
      <c r="G209" s="148"/>
      <c r="H209" s="149"/>
      <c r="I209" s="147" t="str">
        <f t="shared" si="11"/>
        <v/>
      </c>
    </row>
    <row r="210" spans="1:9" s="147" customFormat="1" ht="17.399999999999999">
      <c r="A210" s="145"/>
      <c r="B210" s="146"/>
      <c r="C210" s="147" t="str">
        <f t="shared" si="9"/>
        <v/>
      </c>
      <c r="D210" s="148"/>
      <c r="E210" s="149"/>
      <c r="F210" s="147" t="str">
        <f t="shared" si="10"/>
        <v/>
      </c>
      <c r="G210" s="148"/>
      <c r="H210" s="149"/>
      <c r="I210" s="147" t="str">
        <f t="shared" si="11"/>
        <v/>
      </c>
    </row>
    <row r="211" spans="1:9" s="147" customFormat="1" ht="17.399999999999999">
      <c r="A211" s="145"/>
      <c r="B211" s="146"/>
      <c r="C211" s="147" t="str">
        <f t="shared" si="9"/>
        <v/>
      </c>
      <c r="D211" s="148"/>
      <c r="E211" s="149"/>
      <c r="F211" s="147" t="str">
        <f t="shared" si="10"/>
        <v/>
      </c>
      <c r="G211" s="148"/>
      <c r="H211" s="149"/>
      <c r="I211" s="147" t="str">
        <f t="shared" si="11"/>
        <v/>
      </c>
    </row>
    <row r="212" spans="1:9" s="147" customFormat="1" ht="17.399999999999999">
      <c r="A212" s="145"/>
      <c r="B212" s="146"/>
      <c r="C212" s="147" t="str">
        <f t="shared" si="9"/>
        <v/>
      </c>
      <c r="D212" s="148"/>
      <c r="E212" s="149"/>
      <c r="F212" s="147" t="str">
        <f t="shared" si="10"/>
        <v/>
      </c>
      <c r="G212" s="148"/>
      <c r="H212" s="149"/>
      <c r="I212" s="147" t="str">
        <f t="shared" si="11"/>
        <v/>
      </c>
    </row>
    <row r="213" spans="1:9" s="147" customFormat="1" ht="17.399999999999999">
      <c r="A213" s="145"/>
      <c r="B213" s="146"/>
      <c r="C213" s="147" t="str">
        <f t="shared" si="9"/>
        <v/>
      </c>
      <c r="D213" s="148"/>
      <c r="E213" s="149"/>
      <c r="F213" s="147" t="str">
        <f t="shared" si="10"/>
        <v/>
      </c>
      <c r="G213" s="148"/>
      <c r="H213" s="149"/>
      <c r="I213" s="147" t="str">
        <f t="shared" si="11"/>
        <v/>
      </c>
    </row>
    <row r="214" spans="1:9" s="147" customFormat="1" ht="17.399999999999999">
      <c r="A214" s="145"/>
      <c r="B214" s="146"/>
      <c r="C214" s="147" t="str">
        <f t="shared" si="9"/>
        <v/>
      </c>
      <c r="D214" s="148"/>
      <c r="E214" s="149"/>
      <c r="F214" s="147" t="str">
        <f t="shared" si="10"/>
        <v/>
      </c>
      <c r="G214" s="148"/>
      <c r="H214" s="149"/>
      <c r="I214" s="147" t="str">
        <f t="shared" si="11"/>
        <v/>
      </c>
    </row>
    <row r="215" spans="1:9" s="147" customFormat="1" ht="17.399999999999999">
      <c r="A215" s="145"/>
      <c r="B215" s="146"/>
      <c r="C215" s="147" t="str">
        <f t="shared" si="9"/>
        <v/>
      </c>
      <c r="D215" s="148"/>
      <c r="E215" s="149"/>
      <c r="F215" s="147" t="str">
        <f t="shared" si="10"/>
        <v/>
      </c>
      <c r="G215" s="148"/>
      <c r="H215" s="149"/>
      <c r="I215" s="147" t="str">
        <f t="shared" si="11"/>
        <v/>
      </c>
    </row>
    <row r="216" spans="1:9" s="147" customFormat="1" ht="17.399999999999999">
      <c r="A216" s="145"/>
      <c r="B216" s="146"/>
      <c r="C216" s="147" t="str">
        <f t="shared" si="9"/>
        <v/>
      </c>
      <c r="D216" s="148"/>
      <c r="E216" s="149"/>
      <c r="F216" s="147" t="str">
        <f t="shared" si="10"/>
        <v/>
      </c>
      <c r="G216" s="148"/>
      <c r="H216" s="149"/>
      <c r="I216" s="147" t="str">
        <f t="shared" si="11"/>
        <v/>
      </c>
    </row>
    <row r="217" spans="1:9" s="147" customFormat="1" ht="17.399999999999999">
      <c r="A217" s="145"/>
      <c r="B217" s="146"/>
      <c r="C217" s="147" t="str">
        <f t="shared" si="9"/>
        <v/>
      </c>
      <c r="D217" s="148"/>
      <c r="E217" s="149"/>
      <c r="F217" s="147" t="str">
        <f t="shared" si="10"/>
        <v/>
      </c>
      <c r="G217" s="148"/>
      <c r="H217" s="149"/>
      <c r="I217" s="147" t="str">
        <f t="shared" si="11"/>
        <v/>
      </c>
    </row>
    <row r="218" spans="1:9" s="147" customFormat="1" ht="17.399999999999999">
      <c r="A218" s="145"/>
      <c r="B218" s="146"/>
      <c r="C218" s="147" t="str">
        <f t="shared" si="9"/>
        <v/>
      </c>
      <c r="D218" s="148"/>
      <c r="E218" s="149"/>
      <c r="F218" s="147" t="str">
        <f t="shared" si="10"/>
        <v/>
      </c>
      <c r="G218" s="148"/>
      <c r="H218" s="149"/>
      <c r="I218" s="147" t="str">
        <f t="shared" si="11"/>
        <v/>
      </c>
    </row>
    <row r="219" spans="1:9" s="147" customFormat="1" ht="17.399999999999999">
      <c r="A219" s="145"/>
      <c r="B219" s="146"/>
      <c r="C219" s="147" t="str">
        <f t="shared" si="9"/>
        <v/>
      </c>
      <c r="D219" s="148"/>
      <c r="E219" s="149"/>
      <c r="F219" s="147" t="str">
        <f t="shared" si="10"/>
        <v/>
      </c>
      <c r="G219" s="148"/>
      <c r="H219" s="149"/>
      <c r="I219" s="147" t="str">
        <f t="shared" si="11"/>
        <v/>
      </c>
    </row>
    <row r="220" spans="1:9" s="147" customFormat="1" ht="17.399999999999999">
      <c r="A220" s="145"/>
      <c r="B220" s="146"/>
      <c r="C220" s="147" t="str">
        <f t="shared" si="9"/>
        <v/>
      </c>
      <c r="D220" s="148"/>
      <c r="E220" s="149"/>
      <c r="F220" s="147" t="str">
        <f t="shared" si="10"/>
        <v/>
      </c>
      <c r="G220" s="148"/>
      <c r="H220" s="149"/>
      <c r="I220" s="147" t="str">
        <f t="shared" si="11"/>
        <v/>
      </c>
    </row>
    <row r="221" spans="1:9" s="147" customFormat="1" ht="17.399999999999999">
      <c r="A221" s="145"/>
      <c r="B221" s="146"/>
      <c r="C221" s="147" t="str">
        <f t="shared" si="9"/>
        <v/>
      </c>
      <c r="D221" s="148"/>
      <c r="E221" s="149"/>
      <c r="F221" s="147" t="str">
        <f t="shared" si="10"/>
        <v/>
      </c>
      <c r="G221" s="148"/>
      <c r="H221" s="149"/>
      <c r="I221" s="147" t="str">
        <f t="shared" si="11"/>
        <v/>
      </c>
    </row>
    <row r="222" spans="1:9" s="147" customFormat="1" ht="17.399999999999999">
      <c r="A222" s="145"/>
      <c r="B222" s="146"/>
      <c r="C222" s="147" t="str">
        <f t="shared" si="9"/>
        <v/>
      </c>
      <c r="D222" s="148"/>
      <c r="E222" s="149"/>
      <c r="F222" s="147" t="str">
        <f t="shared" si="10"/>
        <v/>
      </c>
      <c r="G222" s="148"/>
      <c r="H222" s="149"/>
      <c r="I222" s="147" t="str">
        <f t="shared" si="11"/>
        <v/>
      </c>
    </row>
    <row r="223" spans="1:9" s="147" customFormat="1" ht="17.399999999999999">
      <c r="A223" s="145"/>
      <c r="B223" s="146"/>
      <c r="C223" s="147" t="str">
        <f t="shared" si="9"/>
        <v/>
      </c>
      <c r="D223" s="148"/>
      <c r="E223" s="149"/>
      <c r="F223" s="147" t="str">
        <f t="shared" si="10"/>
        <v/>
      </c>
      <c r="G223" s="148"/>
      <c r="H223" s="149"/>
      <c r="I223" s="147" t="str">
        <f t="shared" si="11"/>
        <v/>
      </c>
    </row>
    <row r="224" spans="1:9" s="147" customFormat="1" ht="17.399999999999999">
      <c r="A224" s="145"/>
      <c r="B224" s="146"/>
      <c r="C224" s="147" t="str">
        <f t="shared" si="9"/>
        <v/>
      </c>
      <c r="D224" s="148"/>
      <c r="E224" s="149"/>
      <c r="F224" s="147" t="str">
        <f t="shared" si="10"/>
        <v/>
      </c>
      <c r="G224" s="148"/>
      <c r="H224" s="149"/>
      <c r="I224" s="147" t="str">
        <f t="shared" si="11"/>
        <v/>
      </c>
    </row>
    <row r="225" spans="1:9" s="147" customFormat="1" ht="17.399999999999999">
      <c r="A225" s="145"/>
      <c r="B225" s="146"/>
      <c r="C225" s="147" t="str">
        <f t="shared" si="9"/>
        <v/>
      </c>
      <c r="D225" s="148"/>
      <c r="E225" s="149"/>
      <c r="F225" s="147" t="str">
        <f t="shared" si="10"/>
        <v/>
      </c>
      <c r="G225" s="148"/>
      <c r="H225" s="149"/>
      <c r="I225" s="147" t="str">
        <f t="shared" si="11"/>
        <v/>
      </c>
    </row>
    <row r="226" spans="1:9" s="147" customFormat="1" ht="17.399999999999999">
      <c r="A226" s="145"/>
      <c r="B226" s="146"/>
      <c r="C226" s="147" t="str">
        <f t="shared" si="9"/>
        <v/>
      </c>
      <c r="D226" s="148"/>
      <c r="E226" s="149"/>
      <c r="F226" s="147" t="str">
        <f t="shared" si="10"/>
        <v/>
      </c>
      <c r="G226" s="148"/>
      <c r="H226" s="149"/>
      <c r="I226" s="147" t="str">
        <f t="shared" si="11"/>
        <v/>
      </c>
    </row>
    <row r="227" spans="1:9" s="147" customFormat="1" ht="17.399999999999999">
      <c r="A227" s="145"/>
      <c r="B227" s="146"/>
      <c r="C227" s="147" t="str">
        <f t="shared" si="9"/>
        <v/>
      </c>
      <c r="D227" s="148"/>
      <c r="E227" s="149"/>
      <c r="F227" s="147" t="str">
        <f t="shared" si="10"/>
        <v/>
      </c>
      <c r="G227" s="148"/>
      <c r="H227" s="149"/>
      <c r="I227" s="147" t="str">
        <f t="shared" si="11"/>
        <v/>
      </c>
    </row>
    <row r="228" spans="1:9" s="147" customFormat="1" ht="17.399999999999999">
      <c r="A228" s="145"/>
      <c r="B228" s="146"/>
      <c r="C228" s="147" t="str">
        <f t="shared" si="9"/>
        <v/>
      </c>
      <c r="D228" s="148"/>
      <c r="E228" s="149"/>
      <c r="F228" s="147" t="str">
        <f t="shared" si="10"/>
        <v/>
      </c>
      <c r="G228" s="148"/>
      <c r="H228" s="149"/>
      <c r="I228" s="147" t="str">
        <f t="shared" si="11"/>
        <v/>
      </c>
    </row>
    <row r="229" spans="1:9" s="147" customFormat="1" ht="17.399999999999999">
      <c r="A229" s="145"/>
      <c r="B229" s="146"/>
      <c r="C229" s="147" t="str">
        <f t="shared" si="9"/>
        <v/>
      </c>
      <c r="D229" s="148"/>
      <c r="E229" s="149"/>
      <c r="F229" s="147" t="str">
        <f t="shared" si="10"/>
        <v/>
      </c>
      <c r="G229" s="148"/>
      <c r="H229" s="149"/>
      <c r="I229" s="147" t="str">
        <f t="shared" si="11"/>
        <v/>
      </c>
    </row>
    <row r="230" spans="1:9" s="147" customFormat="1" ht="17.399999999999999">
      <c r="A230" s="145"/>
      <c r="B230" s="146"/>
      <c r="C230" s="147" t="str">
        <f t="shared" si="9"/>
        <v/>
      </c>
      <c r="D230" s="148"/>
      <c r="E230" s="149"/>
      <c r="F230" s="147" t="str">
        <f t="shared" si="10"/>
        <v/>
      </c>
      <c r="G230" s="148"/>
      <c r="H230" s="149"/>
      <c r="I230" s="147" t="str">
        <f t="shared" si="11"/>
        <v/>
      </c>
    </row>
    <row r="231" spans="1:9" s="147" customFormat="1" ht="17.399999999999999">
      <c r="A231" s="145"/>
      <c r="B231" s="146"/>
      <c r="C231" s="147" t="str">
        <f t="shared" si="9"/>
        <v/>
      </c>
      <c r="D231" s="148"/>
      <c r="E231" s="149"/>
      <c r="F231" s="147" t="str">
        <f t="shared" si="10"/>
        <v/>
      </c>
      <c r="G231" s="148"/>
      <c r="H231" s="149"/>
      <c r="I231" s="147" t="str">
        <f t="shared" si="11"/>
        <v/>
      </c>
    </row>
    <row r="232" spans="1:9" s="147" customFormat="1" ht="17.399999999999999">
      <c r="A232" s="145"/>
      <c r="B232" s="146"/>
      <c r="C232" s="147" t="str">
        <f t="shared" si="9"/>
        <v/>
      </c>
      <c r="D232" s="148"/>
      <c r="E232" s="149"/>
      <c r="F232" s="147" t="str">
        <f t="shared" si="10"/>
        <v/>
      </c>
      <c r="G232" s="148"/>
      <c r="H232" s="149"/>
      <c r="I232" s="147" t="str">
        <f t="shared" si="11"/>
        <v/>
      </c>
    </row>
    <row r="233" spans="1:9" s="147" customFormat="1" ht="17.399999999999999">
      <c r="A233" s="145"/>
      <c r="B233" s="146"/>
      <c r="C233" s="147" t="str">
        <f t="shared" si="9"/>
        <v/>
      </c>
      <c r="D233" s="148"/>
      <c r="E233" s="149"/>
      <c r="F233" s="147" t="str">
        <f t="shared" si="10"/>
        <v/>
      </c>
      <c r="G233" s="148"/>
      <c r="H233" s="149"/>
      <c r="I233" s="147" t="str">
        <f t="shared" si="11"/>
        <v/>
      </c>
    </row>
    <row r="234" spans="1:9" s="147" customFormat="1" ht="17.399999999999999">
      <c r="A234" s="145"/>
      <c r="B234" s="146"/>
      <c r="C234" s="147" t="str">
        <f t="shared" si="9"/>
        <v/>
      </c>
      <c r="D234" s="148"/>
      <c r="E234" s="149"/>
      <c r="F234" s="147" t="str">
        <f t="shared" si="10"/>
        <v/>
      </c>
      <c r="G234" s="148"/>
      <c r="H234" s="149"/>
      <c r="I234" s="147" t="str">
        <f t="shared" si="11"/>
        <v/>
      </c>
    </row>
    <row r="235" spans="1:9" s="147" customFormat="1" ht="17.399999999999999">
      <c r="A235" s="145"/>
      <c r="B235" s="146"/>
      <c r="C235" s="147" t="str">
        <f t="shared" si="9"/>
        <v/>
      </c>
      <c r="D235" s="148"/>
      <c r="E235" s="149"/>
      <c r="F235" s="147" t="str">
        <f t="shared" si="10"/>
        <v/>
      </c>
      <c r="G235" s="148"/>
      <c r="H235" s="149"/>
      <c r="I235" s="147" t="str">
        <f t="shared" si="11"/>
        <v/>
      </c>
    </row>
    <row r="236" spans="1:9" s="147" customFormat="1" ht="17.399999999999999">
      <c r="A236" s="145"/>
      <c r="B236" s="146"/>
      <c r="C236" s="147" t="str">
        <f t="shared" si="9"/>
        <v/>
      </c>
      <c r="D236" s="148"/>
      <c r="E236" s="149"/>
      <c r="F236" s="147" t="str">
        <f t="shared" si="10"/>
        <v/>
      </c>
      <c r="G236" s="148"/>
      <c r="H236" s="149"/>
      <c r="I236" s="147" t="str">
        <f t="shared" si="11"/>
        <v/>
      </c>
    </row>
    <row r="237" spans="1:9" s="147" customFormat="1" ht="17.399999999999999">
      <c r="A237" s="145"/>
      <c r="B237" s="146"/>
      <c r="C237" s="147" t="str">
        <f t="shared" si="9"/>
        <v/>
      </c>
      <c r="D237" s="148"/>
      <c r="E237" s="149"/>
      <c r="F237" s="147" t="str">
        <f t="shared" si="10"/>
        <v/>
      </c>
      <c r="G237" s="148"/>
      <c r="H237" s="149"/>
      <c r="I237" s="147" t="str">
        <f t="shared" si="11"/>
        <v/>
      </c>
    </row>
    <row r="238" spans="1:9" s="147" customFormat="1" ht="17.399999999999999">
      <c r="A238" s="145"/>
      <c r="B238" s="146"/>
      <c r="C238" s="147" t="str">
        <f t="shared" si="9"/>
        <v/>
      </c>
      <c r="D238" s="148"/>
      <c r="E238" s="149"/>
      <c r="F238" s="147" t="str">
        <f t="shared" si="10"/>
        <v/>
      </c>
      <c r="G238" s="148"/>
      <c r="H238" s="149"/>
      <c r="I238" s="147" t="str">
        <f t="shared" si="11"/>
        <v/>
      </c>
    </row>
    <row r="239" spans="1:9" s="147" customFormat="1" ht="17.399999999999999">
      <c r="A239" s="145"/>
      <c r="B239" s="146"/>
      <c r="C239" s="147" t="str">
        <f t="shared" si="9"/>
        <v/>
      </c>
      <c r="D239" s="148"/>
      <c r="E239" s="149"/>
      <c r="F239" s="147" t="str">
        <f t="shared" si="10"/>
        <v/>
      </c>
      <c r="G239" s="148"/>
      <c r="H239" s="149"/>
      <c r="I239" s="147" t="str">
        <f t="shared" si="11"/>
        <v/>
      </c>
    </row>
    <row r="240" spans="1:9" s="147" customFormat="1" ht="17.399999999999999">
      <c r="A240" s="145"/>
      <c r="B240" s="146"/>
      <c r="C240" s="147" t="str">
        <f t="shared" si="9"/>
        <v/>
      </c>
      <c r="D240" s="148"/>
      <c r="E240" s="149"/>
      <c r="F240" s="147" t="str">
        <f t="shared" si="10"/>
        <v/>
      </c>
      <c r="G240" s="148"/>
      <c r="H240" s="149"/>
      <c r="I240" s="147" t="str">
        <f t="shared" si="11"/>
        <v/>
      </c>
    </row>
    <row r="241" spans="1:9" s="147" customFormat="1" ht="17.399999999999999">
      <c r="A241" s="145"/>
      <c r="B241" s="146"/>
      <c r="C241" s="147" t="str">
        <f t="shared" si="9"/>
        <v/>
      </c>
      <c r="D241" s="148"/>
      <c r="E241" s="149"/>
      <c r="F241" s="147" t="str">
        <f t="shared" si="10"/>
        <v/>
      </c>
      <c r="G241" s="148"/>
      <c r="H241" s="149"/>
      <c r="I241" s="147" t="str">
        <f t="shared" si="11"/>
        <v/>
      </c>
    </row>
    <row r="242" spans="1:9" s="147" customFormat="1" ht="17.399999999999999">
      <c r="A242" s="148"/>
      <c r="B242" s="149"/>
      <c r="C242" s="147" t="str">
        <f t="shared" si="9"/>
        <v/>
      </c>
      <c r="D242" s="148"/>
      <c r="E242" s="149"/>
      <c r="F242" s="147" t="str">
        <f t="shared" si="10"/>
        <v/>
      </c>
      <c r="G242" s="148"/>
      <c r="H242" s="149"/>
      <c r="I242" s="147" t="str">
        <f t="shared" si="11"/>
        <v/>
      </c>
    </row>
    <row r="243" spans="1:9" s="147" customFormat="1" ht="17.399999999999999">
      <c r="A243" s="148"/>
      <c r="B243" s="149"/>
      <c r="C243" s="147" t="str">
        <f t="shared" si="9"/>
        <v/>
      </c>
      <c r="D243" s="148"/>
      <c r="E243" s="149"/>
      <c r="F243" s="147" t="str">
        <f t="shared" si="10"/>
        <v/>
      </c>
      <c r="G243" s="148"/>
      <c r="H243" s="149"/>
      <c r="I243" s="147" t="str">
        <f t="shared" si="11"/>
        <v/>
      </c>
    </row>
    <row r="244" spans="1:9" s="147" customFormat="1" ht="17.399999999999999">
      <c r="A244" s="148"/>
      <c r="B244" s="149"/>
      <c r="C244" s="147" t="str">
        <f t="shared" si="9"/>
        <v/>
      </c>
      <c r="D244" s="148"/>
      <c r="E244" s="149"/>
      <c r="F244" s="147" t="str">
        <f t="shared" si="10"/>
        <v/>
      </c>
      <c r="G244" s="148"/>
      <c r="H244" s="149"/>
      <c r="I244" s="147" t="str">
        <f t="shared" si="11"/>
        <v/>
      </c>
    </row>
    <row r="245" spans="1:9" s="147" customFormat="1" ht="17.399999999999999">
      <c r="A245" s="148"/>
      <c r="B245" s="149"/>
      <c r="C245" s="147" t="str">
        <f t="shared" si="9"/>
        <v/>
      </c>
      <c r="D245" s="148"/>
      <c r="E245" s="149"/>
      <c r="F245" s="147" t="str">
        <f t="shared" si="10"/>
        <v/>
      </c>
      <c r="G245" s="148"/>
      <c r="H245" s="149"/>
      <c r="I245" s="147" t="str">
        <f t="shared" si="11"/>
        <v/>
      </c>
    </row>
    <row r="246" spans="1:9" s="147" customFormat="1" ht="17.399999999999999">
      <c r="A246" s="148"/>
      <c r="B246" s="149"/>
      <c r="C246" s="147" t="str">
        <f t="shared" si="9"/>
        <v/>
      </c>
      <c r="D246" s="148"/>
      <c r="E246" s="149"/>
      <c r="F246" s="147" t="str">
        <f t="shared" si="10"/>
        <v/>
      </c>
      <c r="G246" s="148"/>
      <c r="H246" s="149"/>
      <c r="I246" s="147" t="str">
        <f t="shared" si="11"/>
        <v/>
      </c>
    </row>
    <row r="247" spans="1:9" s="147" customFormat="1" ht="17.399999999999999">
      <c r="A247" s="148"/>
      <c r="B247" s="149"/>
      <c r="C247" s="147" t="str">
        <f t="shared" si="9"/>
        <v/>
      </c>
      <c r="D247" s="148"/>
      <c r="E247" s="149"/>
      <c r="F247" s="147" t="str">
        <f t="shared" si="10"/>
        <v/>
      </c>
      <c r="G247" s="148"/>
      <c r="H247" s="149"/>
      <c r="I247" s="147" t="str">
        <f t="shared" si="11"/>
        <v/>
      </c>
    </row>
    <row r="248" spans="1:9" s="147" customFormat="1" ht="17.399999999999999">
      <c r="A248" s="148"/>
      <c r="B248" s="149"/>
      <c r="C248" s="147" t="str">
        <f t="shared" si="9"/>
        <v/>
      </c>
      <c r="D248" s="148"/>
      <c r="E248" s="149"/>
      <c r="F248" s="147" t="str">
        <f t="shared" si="10"/>
        <v/>
      </c>
      <c r="G248" s="148"/>
      <c r="H248" s="149"/>
      <c r="I248" s="147" t="str">
        <f t="shared" si="11"/>
        <v/>
      </c>
    </row>
    <row r="249" spans="1:9" s="147" customFormat="1" ht="17.399999999999999">
      <c r="A249" s="148"/>
      <c r="B249" s="149"/>
      <c r="C249" s="147" t="str">
        <f t="shared" si="9"/>
        <v/>
      </c>
      <c r="D249" s="148"/>
      <c r="E249" s="149"/>
      <c r="F249" s="147" t="str">
        <f t="shared" si="10"/>
        <v/>
      </c>
      <c r="G249" s="148"/>
      <c r="H249" s="149"/>
      <c r="I249" s="147" t="str">
        <f t="shared" si="11"/>
        <v/>
      </c>
    </row>
    <row r="250" spans="1:9" s="147" customFormat="1" ht="17.399999999999999">
      <c r="A250" s="148"/>
      <c r="B250" s="149"/>
      <c r="C250" s="147" t="str">
        <f t="shared" si="9"/>
        <v/>
      </c>
      <c r="D250" s="148"/>
      <c r="E250" s="149"/>
      <c r="F250" s="147" t="str">
        <f t="shared" si="10"/>
        <v/>
      </c>
      <c r="G250" s="148"/>
      <c r="H250" s="149"/>
      <c r="I250" s="147" t="str">
        <f t="shared" si="11"/>
        <v/>
      </c>
    </row>
    <row r="251" spans="1:9" s="147" customFormat="1" ht="17.399999999999999">
      <c r="A251" s="148"/>
      <c r="B251" s="149"/>
      <c r="C251" s="147" t="str">
        <f t="shared" si="9"/>
        <v/>
      </c>
      <c r="D251" s="148"/>
      <c r="E251" s="149"/>
      <c r="F251" s="147" t="str">
        <f t="shared" si="10"/>
        <v/>
      </c>
      <c r="G251" s="148"/>
      <c r="H251" s="149"/>
      <c r="I251" s="147" t="str">
        <f t="shared" si="11"/>
        <v/>
      </c>
    </row>
    <row r="252" spans="1:9" s="147" customFormat="1" ht="17.399999999999999">
      <c r="A252" s="148"/>
      <c r="B252" s="149"/>
      <c r="C252" s="147" t="str">
        <f t="shared" si="9"/>
        <v/>
      </c>
      <c r="D252" s="148"/>
      <c r="E252" s="149"/>
      <c r="F252" s="147" t="str">
        <f t="shared" si="10"/>
        <v/>
      </c>
      <c r="G252" s="148"/>
      <c r="H252" s="149"/>
      <c r="I252" s="147" t="str">
        <f t="shared" si="11"/>
        <v/>
      </c>
    </row>
    <row r="253" spans="1:9" s="147" customFormat="1" ht="17.399999999999999">
      <c r="A253" s="148"/>
      <c r="B253" s="149"/>
      <c r="C253" s="147" t="str">
        <f t="shared" si="9"/>
        <v/>
      </c>
      <c r="D253" s="148"/>
      <c r="E253" s="149"/>
      <c r="F253" s="147" t="str">
        <f t="shared" si="10"/>
        <v/>
      </c>
      <c r="G253" s="148"/>
      <c r="H253" s="149"/>
      <c r="I253" s="147" t="str">
        <f t="shared" si="11"/>
        <v/>
      </c>
    </row>
    <row r="254" spans="1:9" s="147" customFormat="1" ht="17.399999999999999">
      <c r="A254" s="148"/>
      <c r="B254" s="149"/>
      <c r="C254" s="147" t="str">
        <f t="shared" si="9"/>
        <v/>
      </c>
      <c r="D254" s="148"/>
      <c r="E254" s="149"/>
      <c r="F254" s="147" t="str">
        <f t="shared" si="10"/>
        <v/>
      </c>
      <c r="G254" s="148"/>
      <c r="H254" s="149"/>
      <c r="I254" s="147" t="str">
        <f t="shared" si="11"/>
        <v/>
      </c>
    </row>
    <row r="255" spans="1:9" s="147" customFormat="1" ht="17.399999999999999">
      <c r="A255" s="148"/>
      <c r="B255" s="149"/>
      <c r="C255" s="147" t="str">
        <f t="shared" si="9"/>
        <v/>
      </c>
      <c r="D255" s="148"/>
      <c r="E255" s="149"/>
      <c r="F255" s="147" t="str">
        <f t="shared" si="10"/>
        <v/>
      </c>
      <c r="G255" s="148"/>
      <c r="H255" s="149"/>
      <c r="I255" s="147" t="str">
        <f t="shared" si="11"/>
        <v/>
      </c>
    </row>
    <row r="256" spans="1:9" s="147" customFormat="1" ht="17.399999999999999">
      <c r="A256" s="148"/>
      <c r="B256" s="149"/>
      <c r="C256" s="147" t="str">
        <f t="shared" si="9"/>
        <v/>
      </c>
      <c r="D256" s="148"/>
      <c r="E256" s="149"/>
      <c r="F256" s="147" t="str">
        <f t="shared" si="10"/>
        <v/>
      </c>
      <c r="G256" s="148"/>
      <c r="H256" s="149"/>
      <c r="I256" s="147" t="str">
        <f t="shared" si="11"/>
        <v/>
      </c>
    </row>
    <row r="257" spans="1:9" s="147" customFormat="1" ht="17.399999999999999">
      <c r="A257" s="148"/>
      <c r="B257" s="149"/>
      <c r="C257" s="147" t="str">
        <f t="shared" si="9"/>
        <v/>
      </c>
      <c r="D257" s="148"/>
      <c r="E257" s="149"/>
      <c r="F257" s="147" t="str">
        <f t="shared" si="10"/>
        <v/>
      </c>
      <c r="G257" s="148"/>
      <c r="H257" s="149"/>
      <c r="I257" s="147" t="str">
        <f t="shared" si="11"/>
        <v/>
      </c>
    </row>
    <row r="258" spans="1:9" s="147" customFormat="1" ht="17.399999999999999">
      <c r="A258" s="148"/>
      <c r="B258" s="149"/>
      <c r="C258" s="147" t="str">
        <f t="shared" si="9"/>
        <v/>
      </c>
      <c r="D258" s="148"/>
      <c r="E258" s="149"/>
      <c r="F258" s="147" t="str">
        <f t="shared" si="10"/>
        <v/>
      </c>
      <c r="G258" s="148"/>
      <c r="H258" s="149"/>
      <c r="I258" s="147" t="str">
        <f t="shared" si="11"/>
        <v/>
      </c>
    </row>
    <row r="259" spans="1:9" s="147" customFormat="1" ht="17.399999999999999">
      <c r="A259" s="148"/>
      <c r="B259" s="149"/>
      <c r="C259" s="147" t="str">
        <f t="shared" si="9"/>
        <v/>
      </c>
      <c r="D259" s="148"/>
      <c r="E259" s="149"/>
      <c r="F259" s="147" t="str">
        <f t="shared" si="10"/>
        <v/>
      </c>
      <c r="G259" s="148"/>
      <c r="H259" s="149"/>
      <c r="I259" s="147" t="str">
        <f t="shared" si="11"/>
        <v/>
      </c>
    </row>
    <row r="260" spans="1:9" s="147" customFormat="1" ht="17.399999999999999">
      <c r="A260" s="148"/>
      <c r="B260" s="149"/>
      <c r="C260" s="147" t="str">
        <f t="shared" si="9"/>
        <v/>
      </c>
      <c r="D260" s="148"/>
      <c r="E260" s="149"/>
      <c r="F260" s="147" t="str">
        <f t="shared" si="10"/>
        <v/>
      </c>
      <c r="G260" s="148"/>
      <c r="H260" s="149"/>
      <c r="I260" s="147" t="str">
        <f t="shared" si="11"/>
        <v/>
      </c>
    </row>
    <row r="261" spans="1:9" s="147" customFormat="1" ht="17.399999999999999">
      <c r="A261" s="148"/>
      <c r="B261" s="149"/>
      <c r="C261" s="147" t="str">
        <f t="shared" ref="C261:C304" si="12">IF(B261&gt;0,TEXT(B261,"(aaa)"),"")</f>
        <v/>
      </c>
      <c r="D261" s="148"/>
      <c r="E261" s="149"/>
      <c r="F261" s="147" t="str">
        <f t="shared" ref="F261:F304" si="13">IF(E261&gt;0,TEXT(E261,"(aaa)"),"")</f>
        <v/>
      </c>
      <c r="G261" s="148"/>
      <c r="H261" s="149"/>
      <c r="I261" s="147" t="str">
        <f t="shared" ref="I261:I304" si="14">IF(H261&gt;0,TEXT(H261,"(aaa)"),"")</f>
        <v/>
      </c>
    </row>
    <row r="262" spans="1:9" s="147" customFormat="1" ht="17.399999999999999">
      <c r="A262" s="148"/>
      <c r="B262" s="149"/>
      <c r="C262" s="147" t="str">
        <f t="shared" si="12"/>
        <v/>
      </c>
      <c r="D262" s="148"/>
      <c r="E262" s="149"/>
      <c r="F262" s="147" t="str">
        <f t="shared" si="13"/>
        <v/>
      </c>
      <c r="G262" s="148"/>
      <c r="H262" s="149"/>
      <c r="I262" s="147" t="str">
        <f t="shared" si="14"/>
        <v/>
      </c>
    </row>
    <row r="263" spans="1:9" s="147" customFormat="1" ht="17.399999999999999">
      <c r="A263" s="148"/>
      <c r="B263" s="149"/>
      <c r="C263" s="147" t="str">
        <f t="shared" si="12"/>
        <v/>
      </c>
      <c r="D263" s="148"/>
      <c r="E263" s="149"/>
      <c r="F263" s="147" t="str">
        <f t="shared" si="13"/>
        <v/>
      </c>
      <c r="G263" s="148"/>
      <c r="H263" s="149"/>
      <c r="I263" s="147" t="str">
        <f t="shared" si="14"/>
        <v/>
      </c>
    </row>
    <row r="264" spans="1:9" s="147" customFormat="1" ht="17.399999999999999">
      <c r="A264" s="148"/>
      <c r="B264" s="149"/>
      <c r="C264" s="147" t="str">
        <f t="shared" si="12"/>
        <v/>
      </c>
      <c r="D264" s="148"/>
      <c r="E264" s="149"/>
      <c r="F264" s="147" t="str">
        <f t="shared" si="13"/>
        <v/>
      </c>
      <c r="G264" s="148"/>
      <c r="H264" s="149"/>
      <c r="I264" s="147" t="str">
        <f t="shared" si="14"/>
        <v/>
      </c>
    </row>
    <row r="265" spans="1:9" s="147" customFormat="1" ht="17.399999999999999">
      <c r="A265" s="148"/>
      <c r="B265" s="149"/>
      <c r="C265" s="147" t="str">
        <f t="shared" si="12"/>
        <v/>
      </c>
      <c r="D265" s="148"/>
      <c r="E265" s="149"/>
      <c r="F265" s="147" t="str">
        <f t="shared" si="13"/>
        <v/>
      </c>
      <c r="G265" s="148"/>
      <c r="H265" s="149"/>
      <c r="I265" s="147" t="str">
        <f t="shared" si="14"/>
        <v/>
      </c>
    </row>
    <row r="266" spans="1:9" s="147" customFormat="1" ht="17.399999999999999">
      <c r="A266" s="148"/>
      <c r="B266" s="149"/>
      <c r="C266" s="147" t="str">
        <f t="shared" si="12"/>
        <v/>
      </c>
      <c r="D266" s="148"/>
      <c r="E266" s="149"/>
      <c r="F266" s="147" t="str">
        <f t="shared" si="13"/>
        <v/>
      </c>
      <c r="G266" s="148"/>
      <c r="H266" s="149"/>
      <c r="I266" s="147" t="str">
        <f t="shared" si="14"/>
        <v/>
      </c>
    </row>
    <row r="267" spans="1:9" s="147" customFormat="1" ht="17.399999999999999">
      <c r="A267" s="148"/>
      <c r="B267" s="149"/>
      <c r="C267" s="147" t="str">
        <f t="shared" si="12"/>
        <v/>
      </c>
      <c r="D267" s="148"/>
      <c r="E267" s="149"/>
      <c r="F267" s="147" t="str">
        <f t="shared" si="13"/>
        <v/>
      </c>
      <c r="G267" s="148"/>
      <c r="H267" s="149"/>
      <c r="I267" s="147" t="str">
        <f t="shared" si="14"/>
        <v/>
      </c>
    </row>
    <row r="268" spans="1:9" s="147" customFormat="1" ht="17.399999999999999">
      <c r="A268" s="148"/>
      <c r="B268" s="149"/>
      <c r="C268" s="147" t="str">
        <f t="shared" si="12"/>
        <v/>
      </c>
      <c r="D268" s="148"/>
      <c r="E268" s="149"/>
      <c r="F268" s="147" t="str">
        <f t="shared" si="13"/>
        <v/>
      </c>
      <c r="G268" s="148"/>
      <c r="H268" s="149"/>
      <c r="I268" s="147" t="str">
        <f t="shared" si="14"/>
        <v/>
      </c>
    </row>
    <row r="269" spans="1:9" s="147" customFormat="1" ht="17.399999999999999">
      <c r="A269" s="148"/>
      <c r="B269" s="149"/>
      <c r="C269" s="147" t="str">
        <f t="shared" si="12"/>
        <v/>
      </c>
      <c r="D269" s="148"/>
      <c r="E269" s="149"/>
      <c r="F269" s="147" t="str">
        <f t="shared" si="13"/>
        <v/>
      </c>
      <c r="G269" s="148"/>
      <c r="H269" s="149"/>
      <c r="I269" s="147" t="str">
        <f t="shared" si="14"/>
        <v/>
      </c>
    </row>
    <row r="270" spans="1:9" s="147" customFormat="1" ht="17.399999999999999">
      <c r="A270" s="148"/>
      <c r="B270" s="149"/>
      <c r="C270" s="147" t="str">
        <f t="shared" si="12"/>
        <v/>
      </c>
      <c r="D270" s="148"/>
      <c r="E270" s="149"/>
      <c r="F270" s="147" t="str">
        <f t="shared" si="13"/>
        <v/>
      </c>
      <c r="G270" s="148"/>
      <c r="H270" s="149"/>
      <c r="I270" s="147" t="str">
        <f t="shared" si="14"/>
        <v/>
      </c>
    </row>
    <row r="271" spans="1:9" s="147" customFormat="1" ht="17.399999999999999">
      <c r="A271" s="148"/>
      <c r="B271" s="149"/>
      <c r="C271" s="147" t="str">
        <f t="shared" si="12"/>
        <v/>
      </c>
      <c r="D271" s="148"/>
      <c r="E271" s="149"/>
      <c r="F271" s="147" t="str">
        <f t="shared" si="13"/>
        <v/>
      </c>
      <c r="G271" s="148"/>
      <c r="H271" s="149"/>
      <c r="I271" s="147" t="str">
        <f t="shared" si="14"/>
        <v/>
      </c>
    </row>
    <row r="272" spans="1:9" s="147" customFormat="1" ht="17.399999999999999">
      <c r="A272" s="148"/>
      <c r="B272" s="149"/>
      <c r="C272" s="147" t="str">
        <f t="shared" si="12"/>
        <v/>
      </c>
      <c r="D272" s="148"/>
      <c r="E272" s="149"/>
      <c r="F272" s="147" t="str">
        <f t="shared" si="13"/>
        <v/>
      </c>
      <c r="G272" s="148"/>
      <c r="H272" s="149"/>
      <c r="I272" s="147" t="str">
        <f t="shared" si="14"/>
        <v/>
      </c>
    </row>
    <row r="273" spans="1:9" s="147" customFormat="1" ht="17.399999999999999">
      <c r="A273" s="148"/>
      <c r="B273" s="149"/>
      <c r="C273" s="147" t="str">
        <f t="shared" si="12"/>
        <v/>
      </c>
      <c r="D273" s="148"/>
      <c r="E273" s="149"/>
      <c r="F273" s="147" t="str">
        <f t="shared" si="13"/>
        <v/>
      </c>
      <c r="G273" s="148"/>
      <c r="H273" s="149"/>
      <c r="I273" s="147" t="str">
        <f t="shared" si="14"/>
        <v/>
      </c>
    </row>
    <row r="274" spans="1:9" s="147" customFormat="1" ht="17.399999999999999">
      <c r="A274" s="148"/>
      <c r="B274" s="149"/>
      <c r="C274" s="147" t="str">
        <f t="shared" si="12"/>
        <v/>
      </c>
      <c r="D274" s="148"/>
      <c r="E274" s="149"/>
      <c r="F274" s="147" t="str">
        <f t="shared" si="13"/>
        <v/>
      </c>
      <c r="G274" s="148"/>
      <c r="H274" s="149"/>
      <c r="I274" s="147" t="str">
        <f t="shared" si="14"/>
        <v/>
      </c>
    </row>
    <row r="275" spans="1:9" s="147" customFormat="1" ht="17.399999999999999">
      <c r="A275" s="148"/>
      <c r="B275" s="149"/>
      <c r="C275" s="147" t="str">
        <f t="shared" si="12"/>
        <v/>
      </c>
      <c r="D275" s="148"/>
      <c r="E275" s="149"/>
      <c r="F275" s="147" t="str">
        <f t="shared" si="13"/>
        <v/>
      </c>
      <c r="G275" s="148"/>
      <c r="H275" s="149"/>
      <c r="I275" s="147" t="str">
        <f t="shared" si="14"/>
        <v/>
      </c>
    </row>
    <row r="276" spans="1:9" s="147" customFormat="1" ht="17.399999999999999">
      <c r="A276" s="148"/>
      <c r="B276" s="149"/>
      <c r="C276" s="147" t="str">
        <f t="shared" si="12"/>
        <v/>
      </c>
      <c r="D276" s="148"/>
      <c r="E276" s="149"/>
      <c r="F276" s="147" t="str">
        <f t="shared" si="13"/>
        <v/>
      </c>
      <c r="G276" s="148"/>
      <c r="H276" s="149"/>
      <c r="I276" s="147" t="str">
        <f t="shared" si="14"/>
        <v/>
      </c>
    </row>
    <row r="277" spans="1:9" s="147" customFormat="1" ht="17.399999999999999">
      <c r="A277" s="148"/>
      <c r="B277" s="149"/>
      <c r="C277" s="147" t="str">
        <f t="shared" si="12"/>
        <v/>
      </c>
      <c r="D277" s="148"/>
      <c r="E277" s="149"/>
      <c r="F277" s="147" t="str">
        <f t="shared" si="13"/>
        <v/>
      </c>
      <c r="G277" s="148"/>
      <c r="H277" s="149"/>
      <c r="I277" s="147" t="str">
        <f t="shared" si="14"/>
        <v/>
      </c>
    </row>
    <row r="278" spans="1:9" s="147" customFormat="1" ht="17.399999999999999">
      <c r="A278" s="148"/>
      <c r="B278" s="149"/>
      <c r="C278" s="147" t="str">
        <f t="shared" si="12"/>
        <v/>
      </c>
      <c r="D278" s="148"/>
      <c r="E278" s="149"/>
      <c r="F278" s="147" t="str">
        <f t="shared" si="13"/>
        <v/>
      </c>
      <c r="G278" s="148"/>
      <c r="H278" s="149"/>
      <c r="I278" s="147" t="str">
        <f t="shared" si="14"/>
        <v/>
      </c>
    </row>
    <row r="279" spans="1:9" s="147" customFormat="1" ht="17.399999999999999">
      <c r="A279" s="148"/>
      <c r="B279" s="149"/>
      <c r="C279" s="147" t="str">
        <f t="shared" si="12"/>
        <v/>
      </c>
      <c r="D279" s="148"/>
      <c r="E279" s="149"/>
      <c r="F279" s="147" t="str">
        <f t="shared" si="13"/>
        <v/>
      </c>
      <c r="G279" s="148"/>
      <c r="H279" s="149"/>
      <c r="I279" s="147" t="str">
        <f t="shared" si="14"/>
        <v/>
      </c>
    </row>
    <row r="280" spans="1:9" s="147" customFormat="1" ht="17.399999999999999">
      <c r="A280" s="148"/>
      <c r="B280" s="149"/>
      <c r="C280" s="147" t="str">
        <f t="shared" si="12"/>
        <v/>
      </c>
      <c r="D280" s="148"/>
      <c r="E280" s="149"/>
      <c r="F280" s="147" t="str">
        <f t="shared" si="13"/>
        <v/>
      </c>
      <c r="G280" s="148"/>
      <c r="H280" s="149"/>
      <c r="I280" s="147" t="str">
        <f t="shared" si="14"/>
        <v/>
      </c>
    </row>
    <row r="281" spans="1:9" s="147" customFormat="1" ht="17.399999999999999">
      <c r="A281" s="148"/>
      <c r="B281" s="149"/>
      <c r="C281" s="147" t="str">
        <f t="shared" si="12"/>
        <v/>
      </c>
      <c r="D281" s="148"/>
      <c r="E281" s="149"/>
      <c r="F281" s="147" t="str">
        <f t="shared" si="13"/>
        <v/>
      </c>
      <c r="G281" s="148"/>
      <c r="H281" s="149"/>
      <c r="I281" s="147" t="str">
        <f t="shared" si="14"/>
        <v/>
      </c>
    </row>
    <row r="282" spans="1:9" s="147" customFormat="1" ht="17.399999999999999">
      <c r="A282" s="148"/>
      <c r="B282" s="149"/>
      <c r="C282" s="147" t="str">
        <f t="shared" si="12"/>
        <v/>
      </c>
      <c r="D282" s="148"/>
      <c r="E282" s="149"/>
      <c r="F282" s="147" t="str">
        <f t="shared" si="13"/>
        <v/>
      </c>
      <c r="G282" s="148"/>
      <c r="H282" s="149"/>
      <c r="I282" s="147" t="str">
        <f t="shared" si="14"/>
        <v/>
      </c>
    </row>
    <row r="283" spans="1:9" s="147" customFormat="1" ht="17.399999999999999">
      <c r="A283" s="148"/>
      <c r="B283" s="149"/>
      <c r="C283" s="147" t="str">
        <f t="shared" si="12"/>
        <v/>
      </c>
      <c r="D283" s="148"/>
      <c r="E283" s="149"/>
      <c r="F283" s="147" t="str">
        <f t="shared" si="13"/>
        <v/>
      </c>
      <c r="G283" s="148"/>
      <c r="H283" s="149"/>
      <c r="I283" s="147" t="str">
        <f t="shared" si="14"/>
        <v/>
      </c>
    </row>
    <row r="284" spans="1:9" s="147" customFormat="1" ht="17.399999999999999">
      <c r="A284" s="148"/>
      <c r="B284" s="149"/>
      <c r="C284" s="147" t="str">
        <f t="shared" si="12"/>
        <v/>
      </c>
      <c r="D284" s="148"/>
      <c r="E284" s="149"/>
      <c r="F284" s="147" t="str">
        <f t="shared" si="13"/>
        <v/>
      </c>
      <c r="G284" s="148"/>
      <c r="H284" s="149"/>
      <c r="I284" s="147" t="str">
        <f t="shared" si="14"/>
        <v/>
      </c>
    </row>
    <row r="285" spans="1:9" s="147" customFormat="1" ht="17.399999999999999">
      <c r="A285" s="148"/>
      <c r="B285" s="149"/>
      <c r="C285" s="147" t="str">
        <f t="shared" si="12"/>
        <v/>
      </c>
      <c r="D285" s="148"/>
      <c r="E285" s="149"/>
      <c r="F285" s="147" t="str">
        <f t="shared" si="13"/>
        <v/>
      </c>
      <c r="G285" s="148"/>
      <c r="H285" s="149"/>
      <c r="I285" s="147" t="str">
        <f t="shared" si="14"/>
        <v/>
      </c>
    </row>
    <row r="286" spans="1:9" s="147" customFormat="1" ht="17.399999999999999">
      <c r="A286" s="148"/>
      <c r="B286" s="149"/>
      <c r="C286" s="147" t="str">
        <f t="shared" si="12"/>
        <v/>
      </c>
      <c r="D286" s="148"/>
      <c r="E286" s="149"/>
      <c r="F286" s="147" t="str">
        <f t="shared" si="13"/>
        <v/>
      </c>
      <c r="G286" s="148"/>
      <c r="H286" s="149"/>
      <c r="I286" s="147" t="str">
        <f t="shared" si="14"/>
        <v/>
      </c>
    </row>
    <row r="287" spans="1:9" s="147" customFormat="1" ht="17.399999999999999">
      <c r="A287" s="148"/>
      <c r="B287" s="149"/>
      <c r="C287" s="147" t="str">
        <f t="shared" si="12"/>
        <v/>
      </c>
      <c r="D287" s="148"/>
      <c r="E287" s="149"/>
      <c r="F287" s="147" t="str">
        <f t="shared" si="13"/>
        <v/>
      </c>
      <c r="G287" s="148"/>
      <c r="H287" s="149"/>
      <c r="I287" s="147" t="str">
        <f t="shared" si="14"/>
        <v/>
      </c>
    </row>
    <row r="288" spans="1:9" s="147" customFormat="1" ht="17.399999999999999">
      <c r="A288" s="148"/>
      <c r="B288" s="149"/>
      <c r="C288" s="147" t="str">
        <f t="shared" si="12"/>
        <v/>
      </c>
      <c r="D288" s="148"/>
      <c r="E288" s="149"/>
      <c r="F288" s="147" t="str">
        <f t="shared" si="13"/>
        <v/>
      </c>
      <c r="G288" s="148"/>
      <c r="H288" s="149"/>
      <c r="I288" s="147" t="str">
        <f t="shared" si="14"/>
        <v/>
      </c>
    </row>
    <row r="289" spans="1:9" s="147" customFormat="1" ht="17.399999999999999">
      <c r="A289" s="148"/>
      <c r="B289" s="149"/>
      <c r="C289" s="147" t="str">
        <f t="shared" si="12"/>
        <v/>
      </c>
      <c r="D289" s="148"/>
      <c r="E289" s="149"/>
      <c r="F289" s="147" t="str">
        <f t="shared" si="13"/>
        <v/>
      </c>
      <c r="G289" s="148"/>
      <c r="H289" s="149"/>
      <c r="I289" s="147" t="str">
        <f t="shared" si="14"/>
        <v/>
      </c>
    </row>
    <row r="290" spans="1:9" s="147" customFormat="1" ht="17.399999999999999">
      <c r="A290" s="148"/>
      <c r="B290" s="149"/>
      <c r="C290" s="147" t="str">
        <f t="shared" si="12"/>
        <v/>
      </c>
      <c r="D290" s="148"/>
      <c r="E290" s="149"/>
      <c r="F290" s="147" t="str">
        <f t="shared" si="13"/>
        <v/>
      </c>
      <c r="G290" s="148"/>
      <c r="H290" s="149"/>
      <c r="I290" s="147" t="str">
        <f t="shared" si="14"/>
        <v/>
      </c>
    </row>
    <row r="291" spans="1:9" s="147" customFormat="1" ht="17.399999999999999">
      <c r="A291" s="148"/>
      <c r="B291" s="149"/>
      <c r="C291" s="147" t="str">
        <f t="shared" si="12"/>
        <v/>
      </c>
      <c r="D291" s="148"/>
      <c r="E291" s="149"/>
      <c r="F291" s="147" t="str">
        <f t="shared" si="13"/>
        <v/>
      </c>
      <c r="G291" s="148"/>
      <c r="H291" s="149"/>
      <c r="I291" s="147" t="str">
        <f t="shared" si="14"/>
        <v/>
      </c>
    </row>
    <row r="292" spans="1:9" s="147" customFormat="1" ht="17.399999999999999">
      <c r="A292" s="148"/>
      <c r="B292" s="149"/>
      <c r="C292" s="147" t="str">
        <f t="shared" si="12"/>
        <v/>
      </c>
      <c r="D292" s="148"/>
      <c r="E292" s="149"/>
      <c r="F292" s="147" t="str">
        <f t="shared" si="13"/>
        <v/>
      </c>
      <c r="G292" s="148"/>
      <c r="H292" s="149"/>
      <c r="I292" s="147" t="str">
        <f t="shared" si="14"/>
        <v/>
      </c>
    </row>
    <row r="293" spans="1:9" s="147" customFormat="1" ht="17.399999999999999">
      <c r="A293" s="148"/>
      <c r="B293" s="149"/>
      <c r="C293" s="147" t="str">
        <f t="shared" si="12"/>
        <v/>
      </c>
      <c r="D293" s="148"/>
      <c r="E293" s="149"/>
      <c r="F293" s="147" t="str">
        <f t="shared" si="13"/>
        <v/>
      </c>
      <c r="G293" s="148"/>
      <c r="H293" s="149"/>
      <c r="I293" s="147" t="str">
        <f t="shared" si="14"/>
        <v/>
      </c>
    </row>
    <row r="294" spans="1:9" s="147" customFormat="1" ht="17.399999999999999">
      <c r="A294" s="148"/>
      <c r="B294" s="149"/>
      <c r="C294" s="147" t="str">
        <f t="shared" si="12"/>
        <v/>
      </c>
      <c r="D294" s="148"/>
      <c r="E294" s="149"/>
      <c r="F294" s="147" t="str">
        <f t="shared" si="13"/>
        <v/>
      </c>
      <c r="G294" s="148"/>
      <c r="H294" s="149"/>
      <c r="I294" s="147" t="str">
        <f t="shared" si="14"/>
        <v/>
      </c>
    </row>
    <row r="295" spans="1:9" s="147" customFormat="1" ht="17.399999999999999">
      <c r="A295" s="148"/>
      <c r="B295" s="149"/>
      <c r="C295" s="147" t="str">
        <f t="shared" si="12"/>
        <v/>
      </c>
      <c r="D295" s="148"/>
      <c r="E295" s="149"/>
      <c r="F295" s="147" t="str">
        <f t="shared" si="13"/>
        <v/>
      </c>
      <c r="G295" s="148"/>
      <c r="H295" s="149"/>
      <c r="I295" s="147" t="str">
        <f t="shared" si="14"/>
        <v/>
      </c>
    </row>
    <row r="296" spans="1:9" s="147" customFormat="1" ht="17.399999999999999">
      <c r="A296" s="148"/>
      <c r="B296" s="149"/>
      <c r="C296" s="147" t="str">
        <f t="shared" si="12"/>
        <v/>
      </c>
      <c r="D296" s="148"/>
      <c r="E296" s="149"/>
      <c r="F296" s="147" t="str">
        <f t="shared" si="13"/>
        <v/>
      </c>
      <c r="G296" s="148"/>
      <c r="H296" s="149"/>
      <c r="I296" s="147" t="str">
        <f t="shared" si="14"/>
        <v/>
      </c>
    </row>
    <row r="297" spans="1:9" s="147" customFormat="1" ht="17.399999999999999">
      <c r="A297" s="148"/>
      <c r="B297" s="149"/>
      <c r="C297" s="147" t="str">
        <f t="shared" si="12"/>
        <v/>
      </c>
      <c r="D297" s="148"/>
      <c r="E297" s="149"/>
      <c r="F297" s="147" t="str">
        <f t="shared" si="13"/>
        <v/>
      </c>
      <c r="G297" s="148"/>
      <c r="H297" s="149"/>
      <c r="I297" s="147" t="str">
        <f t="shared" si="14"/>
        <v/>
      </c>
    </row>
    <row r="298" spans="1:9" s="147" customFormat="1" ht="17.399999999999999">
      <c r="A298" s="148"/>
      <c r="B298" s="149"/>
      <c r="C298" s="147" t="str">
        <f t="shared" si="12"/>
        <v/>
      </c>
      <c r="D298" s="148"/>
      <c r="E298" s="149"/>
      <c r="F298" s="147" t="str">
        <f t="shared" si="13"/>
        <v/>
      </c>
      <c r="G298" s="148"/>
      <c r="H298" s="149"/>
      <c r="I298" s="147" t="str">
        <f t="shared" si="14"/>
        <v/>
      </c>
    </row>
    <row r="299" spans="1:9" s="147" customFormat="1" ht="17.399999999999999">
      <c r="A299" s="148"/>
      <c r="B299" s="149"/>
      <c r="C299" s="147" t="str">
        <f t="shared" si="12"/>
        <v/>
      </c>
      <c r="D299" s="148"/>
      <c r="E299" s="149"/>
      <c r="F299" s="147" t="str">
        <f t="shared" si="13"/>
        <v/>
      </c>
      <c r="G299" s="148"/>
      <c r="H299" s="149"/>
      <c r="I299" s="147" t="str">
        <f t="shared" si="14"/>
        <v/>
      </c>
    </row>
    <row r="300" spans="1:9" s="147" customFormat="1" ht="17.399999999999999">
      <c r="A300" s="148"/>
      <c r="B300" s="149"/>
      <c r="C300" s="147" t="str">
        <f t="shared" si="12"/>
        <v/>
      </c>
      <c r="D300" s="148"/>
      <c r="E300" s="149"/>
      <c r="F300" s="147" t="str">
        <f t="shared" si="13"/>
        <v/>
      </c>
      <c r="G300" s="148"/>
      <c r="H300" s="149"/>
      <c r="I300" s="147" t="str">
        <f t="shared" si="14"/>
        <v/>
      </c>
    </row>
    <row r="301" spans="1:9" s="147" customFormat="1" ht="17.399999999999999">
      <c r="A301" s="148"/>
      <c r="B301" s="149"/>
      <c r="C301" s="147" t="str">
        <f t="shared" si="12"/>
        <v/>
      </c>
      <c r="D301" s="148"/>
      <c r="E301" s="149"/>
      <c r="F301" s="147" t="str">
        <f t="shared" si="13"/>
        <v/>
      </c>
      <c r="G301" s="148"/>
      <c r="H301" s="149"/>
      <c r="I301" s="147" t="str">
        <f t="shared" si="14"/>
        <v/>
      </c>
    </row>
    <row r="302" spans="1:9" s="147" customFormat="1" ht="17.399999999999999">
      <c r="A302" s="148"/>
      <c r="B302" s="152"/>
      <c r="C302" s="147" t="str">
        <f t="shared" si="12"/>
        <v/>
      </c>
      <c r="D302" s="148"/>
      <c r="E302" s="152"/>
      <c r="F302" s="147" t="str">
        <f t="shared" si="13"/>
        <v/>
      </c>
      <c r="G302" s="148"/>
      <c r="H302" s="152"/>
      <c r="I302" s="147" t="str">
        <f t="shared" si="14"/>
        <v/>
      </c>
    </row>
    <row r="303" spans="1:9" s="147" customFormat="1" ht="17.399999999999999">
      <c r="A303" s="148"/>
      <c r="B303" s="152"/>
      <c r="C303" s="147" t="str">
        <f t="shared" si="12"/>
        <v/>
      </c>
      <c r="D303" s="148"/>
      <c r="E303" s="152"/>
      <c r="F303" s="147" t="str">
        <f t="shared" si="13"/>
        <v/>
      </c>
      <c r="G303" s="148"/>
      <c r="H303" s="152"/>
      <c r="I303" s="147" t="str">
        <f t="shared" si="14"/>
        <v/>
      </c>
    </row>
    <row r="304" spans="1:9" s="147" customFormat="1" ht="17.399999999999999">
      <c r="A304" s="148"/>
      <c r="B304" s="152"/>
      <c r="C304" s="147" t="str">
        <f t="shared" si="12"/>
        <v/>
      </c>
      <c r="D304" s="148"/>
      <c r="E304" s="152"/>
      <c r="F304" s="147" t="str">
        <f t="shared" si="13"/>
        <v/>
      </c>
      <c r="G304" s="148"/>
      <c r="H304" s="152"/>
      <c r="I304" s="147" t="str">
        <f t="shared" si="14"/>
        <v/>
      </c>
    </row>
    <row r="305" spans="1:7" s="147" customFormat="1" ht="17.399999999999999">
      <c r="A305" s="147" t="s">
        <v>1144</v>
      </c>
      <c r="D305" s="147" t="s">
        <v>1144</v>
      </c>
      <c r="G305" s="147" t="s">
        <v>1144</v>
      </c>
    </row>
  </sheetData>
  <mergeCells count="4">
    <mergeCell ref="A2:H2"/>
    <mergeCell ref="A3:B3"/>
    <mergeCell ref="D3:E3"/>
    <mergeCell ref="G3:H3"/>
  </mergeCells>
  <phoneticPr fontId="2" type="noConversion"/>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F491"/>
  <sheetViews>
    <sheetView topLeftCell="B1" zoomScaleNormal="100" workbookViewId="0">
      <pane ySplit="1" topLeftCell="A55" activePane="bottomLeft" state="frozen"/>
      <selection pane="bottomLeft" activeCell="D79" sqref="D79"/>
    </sheetView>
  </sheetViews>
  <sheetFormatPr defaultColWidth="73.3984375" defaultRowHeight="13.2"/>
  <cols>
    <col min="1" max="1" width="7.59765625" style="108" bestFit="1" customWidth="1"/>
    <col min="2" max="2" width="8.3984375" style="109" bestFit="1" customWidth="1"/>
    <col min="3" max="3" width="15.69921875" style="110" customWidth="1"/>
    <col min="4" max="4" width="60.59765625" style="111" customWidth="1"/>
    <col min="5" max="5" width="72.69921875" style="111" bestFit="1" customWidth="1"/>
    <col min="6" max="16384" width="73.3984375" style="108"/>
  </cols>
  <sheetData>
    <row r="1" spans="1:5" s="106" customFormat="1" ht="24.75" customHeight="1">
      <c r="A1" s="106" t="s">
        <v>506</v>
      </c>
      <c r="B1" s="106" t="s">
        <v>507</v>
      </c>
      <c r="C1" s="107" t="s">
        <v>508</v>
      </c>
      <c r="D1" s="107" t="s">
        <v>65</v>
      </c>
      <c r="E1" s="107" t="s">
        <v>66</v>
      </c>
    </row>
    <row r="2" spans="1:5" ht="79.2">
      <c r="A2" s="108" t="s">
        <v>574</v>
      </c>
      <c r="B2" s="109">
        <v>1</v>
      </c>
      <c r="C2" s="110" t="s">
        <v>1057</v>
      </c>
      <c r="D2" s="111" t="s">
        <v>509</v>
      </c>
      <c r="E2" s="111" t="s">
        <v>616</v>
      </c>
    </row>
    <row r="3" spans="1:5" ht="112.5" customHeight="1">
      <c r="A3" s="112">
        <v>500</v>
      </c>
      <c r="B3" s="109">
        <v>2</v>
      </c>
      <c r="C3" s="110" t="s">
        <v>1057</v>
      </c>
      <c r="D3" s="111" t="s">
        <v>502</v>
      </c>
      <c r="E3" s="111" t="s">
        <v>617</v>
      </c>
    </row>
    <row r="4" spans="1:5" ht="52.8">
      <c r="B4" s="109">
        <v>3</v>
      </c>
      <c r="C4" s="110" t="s">
        <v>1057</v>
      </c>
      <c r="D4" s="111" t="s">
        <v>510</v>
      </c>
      <c r="E4" s="111" t="s">
        <v>618</v>
      </c>
    </row>
    <row r="5" spans="1:5" ht="52.8">
      <c r="B5" s="109">
        <v>4</v>
      </c>
      <c r="C5" s="110" t="s">
        <v>1057</v>
      </c>
      <c r="D5" s="111" t="s">
        <v>511</v>
      </c>
      <c r="E5" s="111" t="s">
        <v>619</v>
      </c>
    </row>
    <row r="6" spans="1:5" ht="52.8">
      <c r="B6" s="109">
        <v>5</v>
      </c>
      <c r="C6" s="110" t="s">
        <v>1057</v>
      </c>
      <c r="D6" s="111" t="s">
        <v>512</v>
      </c>
      <c r="E6" s="111" t="s">
        <v>620</v>
      </c>
    </row>
    <row r="7" spans="1:5" ht="39.6">
      <c r="B7" s="109">
        <v>6</v>
      </c>
      <c r="C7" s="110" t="s">
        <v>1057</v>
      </c>
      <c r="D7" s="111" t="s">
        <v>513</v>
      </c>
      <c r="E7" s="111" t="s">
        <v>621</v>
      </c>
    </row>
    <row r="8" spans="1:5">
      <c r="B8" s="109">
        <v>7</v>
      </c>
      <c r="C8" s="110" t="s">
        <v>1057</v>
      </c>
      <c r="D8" s="111" t="s">
        <v>504</v>
      </c>
      <c r="E8" s="111" t="s">
        <v>622</v>
      </c>
    </row>
    <row r="9" spans="1:5">
      <c r="B9" s="109">
        <v>101</v>
      </c>
      <c r="D9" s="111" t="s">
        <v>67</v>
      </c>
      <c r="E9" s="111" t="s">
        <v>623</v>
      </c>
    </row>
    <row r="10" spans="1:5">
      <c r="B10" s="109">
        <v>102</v>
      </c>
      <c r="D10" s="111" t="s">
        <v>68</v>
      </c>
      <c r="E10" s="111" t="s">
        <v>624</v>
      </c>
    </row>
    <row r="11" spans="1:5">
      <c r="B11" s="109">
        <v>103</v>
      </c>
      <c r="D11" s="111" t="s">
        <v>69</v>
      </c>
      <c r="E11" s="111" t="s">
        <v>625</v>
      </c>
    </row>
    <row r="12" spans="1:5">
      <c r="B12" s="109">
        <v>104</v>
      </c>
      <c r="D12" s="111" t="s">
        <v>70</v>
      </c>
      <c r="E12" s="111" t="s">
        <v>626</v>
      </c>
    </row>
    <row r="13" spans="1:5">
      <c r="B13" s="109">
        <v>105</v>
      </c>
      <c r="D13" s="111" t="s">
        <v>71</v>
      </c>
      <c r="E13" s="111" t="s">
        <v>627</v>
      </c>
    </row>
    <row r="14" spans="1:5">
      <c r="B14" s="109">
        <v>106</v>
      </c>
      <c r="D14" s="111" t="s">
        <v>423</v>
      </c>
      <c r="E14" s="111" t="s">
        <v>628</v>
      </c>
    </row>
    <row r="15" spans="1:5" ht="26.4">
      <c r="B15" s="109">
        <v>107</v>
      </c>
      <c r="D15" s="111" t="s">
        <v>424</v>
      </c>
      <c r="E15" s="111" t="s">
        <v>629</v>
      </c>
    </row>
    <row r="16" spans="1:5" ht="39.6">
      <c r="B16" s="109">
        <v>108</v>
      </c>
      <c r="D16" s="111" t="s">
        <v>425</v>
      </c>
      <c r="E16" s="111" t="s">
        <v>630</v>
      </c>
    </row>
    <row r="17" spans="1:6">
      <c r="B17" s="109">
        <v>109</v>
      </c>
      <c r="D17" s="111" t="s">
        <v>72</v>
      </c>
      <c r="E17" s="111" t="s">
        <v>631</v>
      </c>
    </row>
    <row r="18" spans="1:6">
      <c r="B18" s="109">
        <v>110</v>
      </c>
      <c r="D18" s="111" t="s">
        <v>73</v>
      </c>
      <c r="E18" s="111" t="s">
        <v>632</v>
      </c>
    </row>
    <row r="19" spans="1:6">
      <c r="B19" s="109">
        <v>111</v>
      </c>
      <c r="D19" s="111" t="s">
        <v>74</v>
      </c>
      <c r="E19" s="111" t="s">
        <v>633</v>
      </c>
    </row>
    <row r="20" spans="1:6">
      <c r="A20" s="113"/>
      <c r="B20" s="109">
        <v>112</v>
      </c>
      <c r="C20" s="114" t="s">
        <v>514</v>
      </c>
      <c r="D20" s="112" t="s">
        <v>515</v>
      </c>
      <c r="E20" s="112" t="s">
        <v>607</v>
      </c>
      <c r="F20" s="115"/>
    </row>
    <row r="21" spans="1:6">
      <c r="B21" s="109">
        <v>113</v>
      </c>
      <c r="D21" s="111" t="s">
        <v>75</v>
      </c>
      <c r="E21" s="111" t="s">
        <v>607</v>
      </c>
    </row>
    <row r="22" spans="1:6">
      <c r="B22" s="109">
        <v>114</v>
      </c>
      <c r="D22" s="111" t="s">
        <v>76</v>
      </c>
      <c r="E22" s="111" t="s">
        <v>634</v>
      </c>
    </row>
    <row r="23" spans="1:6">
      <c r="B23" s="109">
        <v>115</v>
      </c>
      <c r="D23" s="111" t="s">
        <v>77</v>
      </c>
      <c r="E23" s="111" t="s">
        <v>635</v>
      </c>
    </row>
    <row r="24" spans="1:6" ht="26.4">
      <c r="B24" s="109">
        <v>116</v>
      </c>
      <c r="D24" s="111" t="s">
        <v>426</v>
      </c>
      <c r="E24" s="111" t="s">
        <v>636</v>
      </c>
    </row>
    <row r="25" spans="1:6">
      <c r="B25" s="109">
        <v>117</v>
      </c>
      <c r="D25" s="111" t="s">
        <v>1069</v>
      </c>
      <c r="E25" s="111" t="s">
        <v>1070</v>
      </c>
    </row>
    <row r="26" spans="1:6">
      <c r="B26" s="109">
        <v>118</v>
      </c>
      <c r="D26" s="111" t="s">
        <v>1096</v>
      </c>
      <c r="E26" s="111" t="s">
        <v>1097</v>
      </c>
    </row>
    <row r="27" spans="1:6" ht="26.4">
      <c r="B27" s="109">
        <v>119</v>
      </c>
      <c r="D27" s="111" t="s">
        <v>78</v>
      </c>
      <c r="E27" s="111" t="s">
        <v>637</v>
      </c>
    </row>
    <row r="28" spans="1:6">
      <c r="B28" s="109">
        <v>120</v>
      </c>
      <c r="D28" s="111" t="s">
        <v>79</v>
      </c>
      <c r="E28" s="111" t="s">
        <v>638</v>
      </c>
    </row>
    <row r="29" spans="1:6">
      <c r="B29" s="109">
        <v>121</v>
      </c>
      <c r="D29" s="111" t="s">
        <v>421</v>
      </c>
      <c r="E29" s="111" t="s">
        <v>580</v>
      </c>
    </row>
    <row r="30" spans="1:6">
      <c r="B30" s="109">
        <v>122</v>
      </c>
      <c r="D30" s="111" t="s">
        <v>80</v>
      </c>
      <c r="E30" s="111" t="s">
        <v>639</v>
      </c>
    </row>
    <row r="31" spans="1:6">
      <c r="B31" s="109">
        <v>123</v>
      </c>
      <c r="D31" s="111" t="s">
        <v>1099</v>
      </c>
      <c r="E31" s="111" t="s">
        <v>1098</v>
      </c>
    </row>
    <row r="32" spans="1:6">
      <c r="B32" s="109">
        <v>124</v>
      </c>
      <c r="D32" s="111" t="s">
        <v>1100</v>
      </c>
      <c r="E32" s="111" t="s">
        <v>1101</v>
      </c>
    </row>
    <row r="33" spans="2:5">
      <c r="B33" s="109">
        <v>125</v>
      </c>
      <c r="D33" s="111" t="s">
        <v>81</v>
      </c>
      <c r="E33" s="111" t="s">
        <v>640</v>
      </c>
    </row>
    <row r="34" spans="2:5">
      <c r="B34" s="109">
        <v>126</v>
      </c>
      <c r="D34" s="111" t="s">
        <v>82</v>
      </c>
      <c r="E34" s="111" t="s">
        <v>641</v>
      </c>
    </row>
    <row r="35" spans="2:5" ht="26.4">
      <c r="B35" s="109">
        <v>127</v>
      </c>
      <c r="D35" s="111" t="s">
        <v>422</v>
      </c>
      <c r="E35" s="111" t="s">
        <v>581</v>
      </c>
    </row>
    <row r="36" spans="2:5">
      <c r="B36" s="109">
        <v>128</v>
      </c>
      <c r="D36" s="111" t="s">
        <v>83</v>
      </c>
      <c r="E36" s="111" t="s">
        <v>579</v>
      </c>
    </row>
    <row r="37" spans="2:5">
      <c r="B37" s="109">
        <v>129</v>
      </c>
      <c r="D37" s="111" t="s">
        <v>84</v>
      </c>
      <c r="E37" s="111" t="s">
        <v>642</v>
      </c>
    </row>
    <row r="38" spans="2:5">
      <c r="B38" s="109">
        <v>130</v>
      </c>
      <c r="D38" s="111" t="s">
        <v>427</v>
      </c>
      <c r="E38" s="111" t="s">
        <v>643</v>
      </c>
    </row>
    <row r="39" spans="2:5">
      <c r="B39" s="109">
        <v>131</v>
      </c>
      <c r="D39" s="111" t="s">
        <v>85</v>
      </c>
      <c r="E39" s="111" t="s">
        <v>644</v>
      </c>
    </row>
    <row r="40" spans="2:5">
      <c r="B40" s="109">
        <v>132</v>
      </c>
      <c r="D40" s="111" t="s">
        <v>86</v>
      </c>
      <c r="E40" s="111" t="s">
        <v>645</v>
      </c>
    </row>
    <row r="41" spans="2:5">
      <c r="B41" s="109">
        <v>133</v>
      </c>
      <c r="D41" s="111" t="s">
        <v>87</v>
      </c>
      <c r="E41" s="111" t="s">
        <v>646</v>
      </c>
    </row>
    <row r="42" spans="2:5">
      <c r="B42" s="109">
        <v>134</v>
      </c>
      <c r="D42" s="116" t="s">
        <v>428</v>
      </c>
      <c r="E42" s="117">
        <v>43435</v>
      </c>
    </row>
    <row r="43" spans="2:5">
      <c r="B43" s="109">
        <v>135</v>
      </c>
      <c r="D43" s="116" t="s">
        <v>428</v>
      </c>
      <c r="E43" s="117">
        <v>43435</v>
      </c>
    </row>
    <row r="44" spans="2:5">
      <c r="B44" s="109">
        <v>136</v>
      </c>
      <c r="D44" s="116" t="s">
        <v>429</v>
      </c>
      <c r="E44" s="117">
        <v>43465</v>
      </c>
    </row>
    <row r="45" spans="2:5">
      <c r="B45" s="109">
        <v>137</v>
      </c>
      <c r="D45" s="116" t="s">
        <v>429</v>
      </c>
      <c r="E45" s="117">
        <v>43465</v>
      </c>
    </row>
    <row r="46" spans="2:5">
      <c r="B46" s="109">
        <v>138</v>
      </c>
      <c r="D46" s="111" t="s">
        <v>88</v>
      </c>
      <c r="E46" s="111" t="s">
        <v>88</v>
      </c>
    </row>
    <row r="47" spans="2:5">
      <c r="B47" s="109">
        <v>139</v>
      </c>
      <c r="D47" s="111" t="s">
        <v>1079</v>
      </c>
      <c r="E47" s="111" t="s">
        <v>1080</v>
      </c>
    </row>
    <row r="48" spans="2:5">
      <c r="B48" s="109">
        <v>140</v>
      </c>
      <c r="D48" s="111" t="s">
        <v>1059</v>
      </c>
      <c r="E48" s="111" t="s">
        <v>1060</v>
      </c>
    </row>
    <row r="49" spans="2:5">
      <c r="B49" s="109">
        <v>141</v>
      </c>
      <c r="D49" s="111" t="s">
        <v>89</v>
      </c>
      <c r="E49" s="111" t="s">
        <v>647</v>
      </c>
    </row>
    <row r="50" spans="2:5">
      <c r="B50" s="109">
        <v>142</v>
      </c>
      <c r="C50" s="110" t="s">
        <v>516</v>
      </c>
      <c r="D50" s="111" t="s">
        <v>517</v>
      </c>
      <c r="E50" s="111" t="s">
        <v>518</v>
      </c>
    </row>
    <row r="51" spans="2:5">
      <c r="B51" s="109">
        <v>143</v>
      </c>
      <c r="D51" s="111" t="s">
        <v>90</v>
      </c>
      <c r="E51" s="111" t="s">
        <v>648</v>
      </c>
    </row>
    <row r="52" spans="2:5">
      <c r="B52" s="109">
        <v>144</v>
      </c>
      <c r="D52" s="111" t="s">
        <v>91</v>
      </c>
      <c r="E52" s="111" t="s">
        <v>649</v>
      </c>
    </row>
    <row r="53" spans="2:5">
      <c r="B53" s="109">
        <v>145</v>
      </c>
      <c r="D53" s="111" t="s">
        <v>430</v>
      </c>
      <c r="E53" s="111" t="s">
        <v>604</v>
      </c>
    </row>
    <row r="54" spans="2:5">
      <c r="B54" s="109">
        <v>146</v>
      </c>
      <c r="D54" s="111" t="s">
        <v>92</v>
      </c>
      <c r="E54" s="111" t="s">
        <v>650</v>
      </c>
    </row>
    <row r="55" spans="2:5">
      <c r="B55" s="109">
        <v>147</v>
      </c>
      <c r="D55" s="111" t="s">
        <v>93</v>
      </c>
      <c r="E55" s="111" t="s">
        <v>651</v>
      </c>
    </row>
    <row r="56" spans="2:5">
      <c r="B56" s="109">
        <v>148</v>
      </c>
      <c r="D56" s="111" t="s">
        <v>94</v>
      </c>
      <c r="E56" s="111" t="s">
        <v>652</v>
      </c>
    </row>
    <row r="57" spans="2:5">
      <c r="B57" s="109">
        <v>149</v>
      </c>
      <c r="D57" s="111" t="s">
        <v>95</v>
      </c>
      <c r="E57" s="111" t="s">
        <v>653</v>
      </c>
    </row>
    <row r="58" spans="2:5">
      <c r="B58" s="109">
        <v>150</v>
      </c>
      <c r="D58" s="111" t="s">
        <v>96</v>
      </c>
      <c r="E58" s="111" t="s">
        <v>654</v>
      </c>
    </row>
    <row r="59" spans="2:5">
      <c r="B59" s="109">
        <v>151</v>
      </c>
      <c r="D59" s="111" t="s">
        <v>431</v>
      </c>
      <c r="E59" s="111" t="s">
        <v>603</v>
      </c>
    </row>
    <row r="60" spans="2:5">
      <c r="B60" s="109">
        <v>152</v>
      </c>
      <c r="D60" s="111" t="s">
        <v>97</v>
      </c>
      <c r="E60" s="111" t="s">
        <v>655</v>
      </c>
    </row>
    <row r="61" spans="2:5">
      <c r="B61" s="109">
        <v>153</v>
      </c>
      <c r="D61" s="111" t="s">
        <v>98</v>
      </c>
      <c r="E61" s="111" t="s">
        <v>656</v>
      </c>
    </row>
    <row r="62" spans="2:5">
      <c r="B62" s="109">
        <v>154</v>
      </c>
      <c r="D62" s="111" t="s">
        <v>99</v>
      </c>
      <c r="E62" s="111" t="s">
        <v>657</v>
      </c>
    </row>
    <row r="63" spans="2:5">
      <c r="B63" s="109">
        <v>155</v>
      </c>
      <c r="D63" s="111" t="s">
        <v>100</v>
      </c>
      <c r="E63" s="111" t="s">
        <v>658</v>
      </c>
    </row>
    <row r="64" spans="2:5">
      <c r="B64" s="109">
        <v>156</v>
      </c>
      <c r="D64" s="111" t="s">
        <v>432</v>
      </c>
      <c r="E64" s="111" t="s">
        <v>659</v>
      </c>
    </row>
    <row r="65" spans="1:6">
      <c r="A65" s="118"/>
      <c r="B65" s="109">
        <v>157</v>
      </c>
      <c r="C65" s="114" t="s">
        <v>497</v>
      </c>
      <c r="D65" s="112" t="s">
        <v>519</v>
      </c>
      <c r="E65" s="112" t="s">
        <v>660</v>
      </c>
      <c r="F65" s="115"/>
    </row>
    <row r="66" spans="1:6">
      <c r="B66" s="109">
        <v>158</v>
      </c>
      <c r="D66" s="111" t="s">
        <v>101</v>
      </c>
      <c r="E66" s="112" t="s">
        <v>661</v>
      </c>
    </row>
    <row r="67" spans="1:6">
      <c r="B67" s="109">
        <v>159</v>
      </c>
      <c r="D67" s="111" t="s">
        <v>102</v>
      </c>
      <c r="E67" s="112" t="s">
        <v>662</v>
      </c>
    </row>
    <row r="68" spans="1:6">
      <c r="A68" s="118"/>
      <c r="B68" s="109">
        <v>160</v>
      </c>
      <c r="C68" s="114" t="s">
        <v>520</v>
      </c>
      <c r="D68" s="112" t="s">
        <v>521</v>
      </c>
      <c r="E68" s="112" t="s">
        <v>663</v>
      </c>
      <c r="F68" s="115"/>
    </row>
    <row r="69" spans="1:6">
      <c r="A69" s="118"/>
      <c r="B69" s="109">
        <v>161</v>
      </c>
      <c r="C69" s="114" t="s">
        <v>497</v>
      </c>
      <c r="D69" s="112" t="s">
        <v>522</v>
      </c>
      <c r="E69" s="112" t="s">
        <v>664</v>
      </c>
      <c r="F69" s="115"/>
    </row>
    <row r="70" spans="1:6">
      <c r="A70" s="118"/>
      <c r="B70" s="109">
        <v>162</v>
      </c>
      <c r="C70" s="114" t="s">
        <v>497</v>
      </c>
      <c r="D70" s="112" t="s">
        <v>523</v>
      </c>
      <c r="E70" s="112" t="s">
        <v>665</v>
      </c>
      <c r="F70" s="115"/>
    </row>
    <row r="71" spans="1:6">
      <c r="A71" s="118"/>
      <c r="B71" s="109">
        <v>163</v>
      </c>
      <c r="C71" s="114" t="s">
        <v>520</v>
      </c>
      <c r="D71" s="112" t="s">
        <v>505</v>
      </c>
      <c r="E71" s="112" t="s">
        <v>666</v>
      </c>
      <c r="F71" s="115"/>
    </row>
    <row r="72" spans="1:6">
      <c r="B72" s="109">
        <v>164</v>
      </c>
      <c r="D72" s="111" t="s">
        <v>103</v>
      </c>
      <c r="E72" s="111" t="s">
        <v>667</v>
      </c>
    </row>
    <row r="73" spans="1:6">
      <c r="B73" s="109">
        <v>165</v>
      </c>
      <c r="D73" s="111" t="s">
        <v>104</v>
      </c>
      <c r="E73" s="111" t="s">
        <v>668</v>
      </c>
    </row>
    <row r="74" spans="1:6">
      <c r="B74" s="109">
        <v>166</v>
      </c>
      <c r="D74" s="111" t="s">
        <v>524</v>
      </c>
      <c r="E74" s="111" t="s">
        <v>669</v>
      </c>
    </row>
    <row r="75" spans="1:6">
      <c r="B75" s="109">
        <v>167</v>
      </c>
      <c r="D75" s="111" t="s">
        <v>105</v>
      </c>
      <c r="E75" s="111" t="s">
        <v>670</v>
      </c>
    </row>
    <row r="76" spans="1:6">
      <c r="B76" s="109">
        <v>168</v>
      </c>
      <c r="D76" s="111" t="s">
        <v>106</v>
      </c>
      <c r="E76" s="111" t="s">
        <v>671</v>
      </c>
    </row>
    <row r="77" spans="1:6">
      <c r="B77" s="109">
        <v>169</v>
      </c>
      <c r="D77" s="111" t="s">
        <v>107</v>
      </c>
      <c r="E77" s="111" t="s">
        <v>1255</v>
      </c>
    </row>
    <row r="78" spans="1:6">
      <c r="B78" s="109">
        <v>170</v>
      </c>
      <c r="D78" s="111" t="s">
        <v>108</v>
      </c>
      <c r="E78" s="111" t="s">
        <v>672</v>
      </c>
    </row>
    <row r="79" spans="1:6" ht="26.4">
      <c r="B79" s="109">
        <v>171</v>
      </c>
      <c r="D79" s="111" t="s">
        <v>109</v>
      </c>
      <c r="E79" s="111" t="s">
        <v>586</v>
      </c>
    </row>
    <row r="80" spans="1:6">
      <c r="B80" s="109">
        <v>172</v>
      </c>
      <c r="D80" s="111" t="s">
        <v>110</v>
      </c>
      <c r="E80" s="111" t="s">
        <v>673</v>
      </c>
    </row>
    <row r="81" spans="2:5">
      <c r="B81" s="109">
        <v>173</v>
      </c>
      <c r="D81" s="111" t="s">
        <v>111</v>
      </c>
      <c r="E81" s="111" t="s">
        <v>674</v>
      </c>
    </row>
    <row r="82" spans="2:5">
      <c r="B82" s="109">
        <v>174</v>
      </c>
      <c r="D82" s="111" t="s">
        <v>112</v>
      </c>
      <c r="E82" s="111" t="s">
        <v>675</v>
      </c>
    </row>
    <row r="83" spans="2:5">
      <c r="B83" s="109">
        <v>175</v>
      </c>
      <c r="D83" s="111" t="s">
        <v>433</v>
      </c>
      <c r="E83" s="111" t="s">
        <v>676</v>
      </c>
    </row>
    <row r="84" spans="2:5">
      <c r="B84" s="109">
        <v>176</v>
      </c>
      <c r="D84" s="111" t="s">
        <v>113</v>
      </c>
      <c r="E84" s="111" t="s">
        <v>677</v>
      </c>
    </row>
    <row r="85" spans="2:5">
      <c r="B85" s="109">
        <v>177</v>
      </c>
      <c r="D85" s="111" t="s">
        <v>114</v>
      </c>
      <c r="E85" s="111" t="s">
        <v>678</v>
      </c>
    </row>
    <row r="86" spans="2:5">
      <c r="B86" s="109">
        <v>178</v>
      </c>
      <c r="D86" s="111" t="s">
        <v>115</v>
      </c>
      <c r="E86" s="111" t="s">
        <v>679</v>
      </c>
    </row>
    <row r="87" spans="2:5">
      <c r="B87" s="109">
        <v>179</v>
      </c>
      <c r="D87" s="111" t="s">
        <v>116</v>
      </c>
      <c r="E87" s="111" t="s">
        <v>680</v>
      </c>
    </row>
    <row r="88" spans="2:5">
      <c r="B88" s="109">
        <v>180</v>
      </c>
      <c r="D88" s="111" t="s">
        <v>117</v>
      </c>
      <c r="E88" s="111" t="s">
        <v>681</v>
      </c>
    </row>
    <row r="89" spans="2:5">
      <c r="B89" s="109">
        <v>181</v>
      </c>
      <c r="D89" s="111" t="s">
        <v>118</v>
      </c>
      <c r="E89" s="111" t="s">
        <v>682</v>
      </c>
    </row>
    <row r="90" spans="2:5">
      <c r="B90" s="109">
        <v>182</v>
      </c>
      <c r="D90" s="111" t="s">
        <v>119</v>
      </c>
      <c r="E90" s="111" t="s">
        <v>683</v>
      </c>
    </row>
    <row r="91" spans="2:5">
      <c r="B91" s="109">
        <v>183</v>
      </c>
      <c r="D91" s="111" t="s">
        <v>120</v>
      </c>
      <c r="E91" s="111" t="s">
        <v>684</v>
      </c>
    </row>
    <row r="92" spans="2:5">
      <c r="B92" s="109">
        <v>184</v>
      </c>
      <c r="D92" s="111" t="s">
        <v>434</v>
      </c>
      <c r="E92" s="111" t="s">
        <v>685</v>
      </c>
    </row>
    <row r="93" spans="2:5" ht="26.4">
      <c r="B93" s="109">
        <v>185</v>
      </c>
      <c r="D93" s="111" t="s">
        <v>435</v>
      </c>
      <c r="E93" s="111" t="s">
        <v>686</v>
      </c>
    </row>
    <row r="94" spans="2:5" ht="26.4">
      <c r="B94" s="109">
        <v>186</v>
      </c>
      <c r="D94" s="111" t="s">
        <v>121</v>
      </c>
      <c r="E94" s="111" t="s">
        <v>687</v>
      </c>
    </row>
    <row r="95" spans="2:5">
      <c r="B95" s="109">
        <v>187</v>
      </c>
      <c r="D95" s="111" t="s">
        <v>122</v>
      </c>
      <c r="E95" s="111" t="s">
        <v>123</v>
      </c>
    </row>
    <row r="96" spans="2:5">
      <c r="B96" s="109">
        <v>188</v>
      </c>
      <c r="D96" s="111" t="s">
        <v>436</v>
      </c>
      <c r="E96" s="111" t="s">
        <v>688</v>
      </c>
    </row>
    <row r="97" spans="2:5">
      <c r="B97" s="109">
        <v>189</v>
      </c>
      <c r="D97" s="111" t="s">
        <v>437</v>
      </c>
      <c r="E97" s="111" t="s">
        <v>689</v>
      </c>
    </row>
    <row r="98" spans="2:5">
      <c r="B98" s="109">
        <v>190</v>
      </c>
      <c r="D98" s="111" t="s">
        <v>438</v>
      </c>
      <c r="E98" s="111" t="s">
        <v>532</v>
      </c>
    </row>
    <row r="99" spans="2:5">
      <c r="B99" s="109">
        <v>191</v>
      </c>
      <c r="D99" s="111" t="s">
        <v>124</v>
      </c>
      <c r="E99" s="111" t="s">
        <v>690</v>
      </c>
    </row>
    <row r="100" spans="2:5" ht="26.4">
      <c r="B100" s="109">
        <v>192</v>
      </c>
      <c r="D100" s="111" t="s">
        <v>125</v>
      </c>
      <c r="E100" s="111" t="s">
        <v>691</v>
      </c>
    </row>
    <row r="101" spans="2:5" ht="26.4">
      <c r="B101" s="109">
        <v>193</v>
      </c>
      <c r="D101" s="111" t="s">
        <v>126</v>
      </c>
      <c r="E101" s="111" t="s">
        <v>692</v>
      </c>
    </row>
    <row r="102" spans="2:5">
      <c r="B102" s="109">
        <v>194</v>
      </c>
      <c r="D102" s="111" t="s">
        <v>127</v>
      </c>
      <c r="E102" s="111" t="s">
        <v>127</v>
      </c>
    </row>
    <row r="103" spans="2:5">
      <c r="B103" s="109">
        <v>195</v>
      </c>
      <c r="D103" s="111" t="s">
        <v>128</v>
      </c>
      <c r="E103" s="111" t="s">
        <v>693</v>
      </c>
    </row>
    <row r="104" spans="2:5">
      <c r="B104" s="109">
        <v>196</v>
      </c>
      <c r="D104" s="111" t="s">
        <v>129</v>
      </c>
      <c r="E104" s="111" t="s">
        <v>583</v>
      </c>
    </row>
    <row r="105" spans="2:5">
      <c r="B105" s="109">
        <v>197</v>
      </c>
      <c r="D105" s="111" t="s">
        <v>130</v>
      </c>
      <c r="E105" s="111" t="s">
        <v>1046</v>
      </c>
    </row>
    <row r="106" spans="2:5">
      <c r="B106" s="109">
        <v>198</v>
      </c>
      <c r="D106" s="111" t="s">
        <v>439</v>
      </c>
      <c r="E106" s="111" t="s">
        <v>694</v>
      </c>
    </row>
    <row r="107" spans="2:5">
      <c r="B107" s="109">
        <v>199</v>
      </c>
      <c r="D107" s="111" t="s">
        <v>131</v>
      </c>
      <c r="E107" s="111" t="s">
        <v>695</v>
      </c>
    </row>
    <row r="108" spans="2:5">
      <c r="B108" s="109">
        <v>200</v>
      </c>
      <c r="D108" s="111" t="s">
        <v>440</v>
      </c>
      <c r="E108" s="111" t="s">
        <v>696</v>
      </c>
    </row>
    <row r="109" spans="2:5">
      <c r="B109" s="109">
        <v>201</v>
      </c>
      <c r="D109" s="111" t="s">
        <v>132</v>
      </c>
      <c r="E109" s="111" t="s">
        <v>697</v>
      </c>
    </row>
    <row r="110" spans="2:5">
      <c r="B110" s="109">
        <v>202</v>
      </c>
      <c r="D110" s="111" t="s">
        <v>133</v>
      </c>
      <c r="E110" s="111" t="s">
        <v>698</v>
      </c>
    </row>
    <row r="111" spans="2:5">
      <c r="B111" s="109">
        <v>203</v>
      </c>
      <c r="D111" s="111" t="s">
        <v>134</v>
      </c>
      <c r="E111" s="111" t="s">
        <v>699</v>
      </c>
    </row>
    <row r="112" spans="2:5">
      <c r="B112" s="109">
        <v>204</v>
      </c>
      <c r="D112" s="111" t="s">
        <v>441</v>
      </c>
      <c r="E112" s="111" t="s">
        <v>700</v>
      </c>
    </row>
    <row r="113" spans="2:5">
      <c r="B113" s="109">
        <v>205</v>
      </c>
      <c r="D113" s="111" t="s">
        <v>135</v>
      </c>
      <c r="E113" s="111" t="s">
        <v>701</v>
      </c>
    </row>
    <row r="114" spans="2:5">
      <c r="B114" s="109">
        <v>206</v>
      </c>
      <c r="D114" s="111" t="s">
        <v>136</v>
      </c>
      <c r="E114" s="111" t="s">
        <v>702</v>
      </c>
    </row>
    <row r="115" spans="2:5">
      <c r="B115" s="109">
        <v>207</v>
      </c>
      <c r="D115" s="111" t="s">
        <v>137</v>
      </c>
      <c r="E115" s="111" t="s">
        <v>703</v>
      </c>
    </row>
    <row r="116" spans="2:5">
      <c r="B116" s="109">
        <v>208</v>
      </c>
      <c r="D116" s="111" t="s">
        <v>442</v>
      </c>
      <c r="E116" s="111" t="s">
        <v>704</v>
      </c>
    </row>
    <row r="117" spans="2:5">
      <c r="B117" s="109">
        <v>209</v>
      </c>
      <c r="D117" s="111" t="s">
        <v>443</v>
      </c>
      <c r="E117" s="111" t="s">
        <v>705</v>
      </c>
    </row>
    <row r="118" spans="2:5">
      <c r="B118" s="109">
        <v>210</v>
      </c>
      <c r="D118" s="111" t="s">
        <v>444</v>
      </c>
      <c r="E118" s="111" t="s">
        <v>706</v>
      </c>
    </row>
    <row r="119" spans="2:5">
      <c r="B119" s="109">
        <v>211</v>
      </c>
      <c r="D119" s="111" t="s">
        <v>445</v>
      </c>
      <c r="E119" s="111" t="s">
        <v>707</v>
      </c>
    </row>
    <row r="120" spans="2:5">
      <c r="B120" s="109">
        <v>212</v>
      </c>
      <c r="D120" s="111" t="s">
        <v>446</v>
      </c>
      <c r="E120" s="111" t="s">
        <v>708</v>
      </c>
    </row>
    <row r="121" spans="2:5">
      <c r="B121" s="109">
        <v>213</v>
      </c>
      <c r="D121" s="111" t="s">
        <v>138</v>
      </c>
      <c r="E121" s="111" t="s">
        <v>582</v>
      </c>
    </row>
    <row r="122" spans="2:5">
      <c r="B122" s="109">
        <v>214</v>
      </c>
      <c r="D122" s="111" t="s">
        <v>447</v>
      </c>
      <c r="E122" s="111" t="s">
        <v>709</v>
      </c>
    </row>
    <row r="123" spans="2:5">
      <c r="B123" s="109">
        <v>215</v>
      </c>
      <c r="D123" s="111" t="s">
        <v>139</v>
      </c>
      <c r="E123" s="111" t="s">
        <v>543</v>
      </c>
    </row>
    <row r="124" spans="2:5">
      <c r="B124" s="109">
        <v>216</v>
      </c>
      <c r="D124" s="111" t="s">
        <v>140</v>
      </c>
      <c r="E124" s="111" t="s">
        <v>710</v>
      </c>
    </row>
    <row r="125" spans="2:5">
      <c r="B125" s="109">
        <v>217</v>
      </c>
      <c r="D125" s="111" t="s">
        <v>141</v>
      </c>
      <c r="E125" s="111" t="s">
        <v>711</v>
      </c>
    </row>
    <row r="126" spans="2:5">
      <c r="B126" s="109">
        <v>218</v>
      </c>
      <c r="D126" s="111" t="s">
        <v>448</v>
      </c>
      <c r="E126" s="111" t="s">
        <v>712</v>
      </c>
    </row>
    <row r="127" spans="2:5">
      <c r="B127" s="109">
        <v>219</v>
      </c>
      <c r="D127" s="111" t="s">
        <v>449</v>
      </c>
      <c r="E127" s="111" t="s">
        <v>713</v>
      </c>
    </row>
    <row r="128" spans="2:5">
      <c r="B128" s="109">
        <v>220</v>
      </c>
      <c r="D128" s="111" t="s">
        <v>539</v>
      </c>
      <c r="E128" s="111" t="s">
        <v>714</v>
      </c>
    </row>
    <row r="129" spans="2:5">
      <c r="B129" s="109">
        <v>221</v>
      </c>
      <c r="D129" s="111" t="s">
        <v>450</v>
      </c>
      <c r="E129" s="111" t="s">
        <v>715</v>
      </c>
    </row>
    <row r="130" spans="2:5">
      <c r="B130" s="109">
        <v>222</v>
      </c>
      <c r="D130" s="111" t="s">
        <v>451</v>
      </c>
      <c r="E130" s="111" t="s">
        <v>716</v>
      </c>
    </row>
    <row r="131" spans="2:5">
      <c r="B131" s="109">
        <v>223</v>
      </c>
      <c r="D131" s="111" t="s">
        <v>452</v>
      </c>
      <c r="E131" s="111" t="s">
        <v>717</v>
      </c>
    </row>
    <row r="132" spans="2:5">
      <c r="B132" s="109">
        <v>224</v>
      </c>
      <c r="D132" s="111" t="s">
        <v>453</v>
      </c>
      <c r="E132" s="111" t="s">
        <v>718</v>
      </c>
    </row>
    <row r="133" spans="2:5">
      <c r="B133" s="109">
        <v>225</v>
      </c>
      <c r="D133" s="111" t="s">
        <v>560</v>
      </c>
      <c r="E133" s="111" t="s">
        <v>563</v>
      </c>
    </row>
    <row r="134" spans="2:5">
      <c r="B134" s="109">
        <v>226</v>
      </c>
      <c r="D134" s="111" t="s">
        <v>142</v>
      </c>
      <c r="E134" s="111" t="s">
        <v>719</v>
      </c>
    </row>
    <row r="135" spans="2:5">
      <c r="B135" s="109">
        <v>227</v>
      </c>
      <c r="D135" s="111" t="s">
        <v>143</v>
      </c>
      <c r="E135" s="111" t="s">
        <v>720</v>
      </c>
    </row>
    <row r="136" spans="2:5">
      <c r="B136" s="109">
        <v>228</v>
      </c>
      <c r="D136" s="111" t="s">
        <v>144</v>
      </c>
      <c r="E136" s="111" t="s">
        <v>721</v>
      </c>
    </row>
    <row r="137" spans="2:5">
      <c r="B137" s="109">
        <v>229</v>
      </c>
      <c r="D137" s="111" t="s">
        <v>145</v>
      </c>
      <c r="E137" s="111" t="s">
        <v>722</v>
      </c>
    </row>
    <row r="138" spans="2:5">
      <c r="B138" s="109">
        <v>230</v>
      </c>
      <c r="D138" s="111" t="s">
        <v>454</v>
      </c>
      <c r="E138" s="111" t="s">
        <v>723</v>
      </c>
    </row>
    <row r="139" spans="2:5">
      <c r="B139" s="109">
        <v>231</v>
      </c>
      <c r="D139" s="111" t="s">
        <v>455</v>
      </c>
      <c r="E139" s="111" t="s">
        <v>724</v>
      </c>
    </row>
    <row r="140" spans="2:5">
      <c r="B140" s="109">
        <v>232</v>
      </c>
      <c r="D140" s="111" t="s">
        <v>456</v>
      </c>
      <c r="E140" s="111" t="s">
        <v>725</v>
      </c>
    </row>
    <row r="141" spans="2:5">
      <c r="B141" s="109">
        <v>233</v>
      </c>
      <c r="D141" s="111" t="s">
        <v>146</v>
      </c>
      <c r="E141" s="111" t="s">
        <v>726</v>
      </c>
    </row>
    <row r="142" spans="2:5">
      <c r="B142" s="109">
        <v>234</v>
      </c>
      <c r="D142" s="111" t="s">
        <v>147</v>
      </c>
      <c r="E142" s="111" t="s">
        <v>727</v>
      </c>
    </row>
    <row r="143" spans="2:5">
      <c r="B143" s="109">
        <v>235</v>
      </c>
      <c r="D143" s="111" t="s">
        <v>457</v>
      </c>
      <c r="E143" s="111" t="s">
        <v>728</v>
      </c>
    </row>
    <row r="144" spans="2:5">
      <c r="B144" s="109">
        <v>236</v>
      </c>
      <c r="D144" s="111" t="s">
        <v>148</v>
      </c>
      <c r="E144" s="111" t="s">
        <v>729</v>
      </c>
    </row>
    <row r="145" spans="2:5" ht="39.6">
      <c r="B145" s="109">
        <v>237</v>
      </c>
      <c r="D145" s="111" t="s">
        <v>149</v>
      </c>
      <c r="E145" s="111" t="s">
        <v>730</v>
      </c>
    </row>
    <row r="146" spans="2:5">
      <c r="B146" s="109">
        <v>238</v>
      </c>
      <c r="D146" s="111" t="s">
        <v>150</v>
      </c>
      <c r="E146" s="111" t="s">
        <v>731</v>
      </c>
    </row>
    <row r="147" spans="2:5">
      <c r="B147" s="109">
        <v>239</v>
      </c>
      <c r="D147" s="111" t="s">
        <v>151</v>
      </c>
      <c r="E147" s="111" t="s">
        <v>732</v>
      </c>
    </row>
    <row r="148" spans="2:5">
      <c r="B148" s="109">
        <v>240</v>
      </c>
      <c r="D148" s="111" t="s">
        <v>152</v>
      </c>
      <c r="E148" s="111" t="s">
        <v>733</v>
      </c>
    </row>
    <row r="149" spans="2:5">
      <c r="B149" s="109">
        <v>241</v>
      </c>
      <c r="D149" s="111" t="s">
        <v>153</v>
      </c>
      <c r="E149" s="111" t="s">
        <v>734</v>
      </c>
    </row>
    <row r="150" spans="2:5">
      <c r="B150" s="109">
        <v>242</v>
      </c>
      <c r="D150" s="111" t="s">
        <v>154</v>
      </c>
      <c r="E150" s="111" t="s">
        <v>735</v>
      </c>
    </row>
    <row r="151" spans="2:5">
      <c r="B151" s="109">
        <v>243</v>
      </c>
      <c r="D151" s="111" t="s">
        <v>155</v>
      </c>
      <c r="E151" s="111" t="s">
        <v>736</v>
      </c>
    </row>
    <row r="152" spans="2:5">
      <c r="B152" s="109">
        <v>244</v>
      </c>
      <c r="D152" s="111" t="s">
        <v>156</v>
      </c>
      <c r="E152" s="111" t="s">
        <v>737</v>
      </c>
    </row>
    <row r="153" spans="2:5">
      <c r="B153" s="109">
        <v>245</v>
      </c>
      <c r="D153" s="111" t="s">
        <v>157</v>
      </c>
      <c r="E153" s="111" t="s">
        <v>578</v>
      </c>
    </row>
    <row r="154" spans="2:5">
      <c r="B154" s="109">
        <v>246</v>
      </c>
      <c r="D154" s="111" t="s">
        <v>158</v>
      </c>
      <c r="E154" s="111" t="s">
        <v>738</v>
      </c>
    </row>
    <row r="155" spans="2:5">
      <c r="B155" s="109">
        <v>247</v>
      </c>
      <c r="D155" s="111" t="s">
        <v>159</v>
      </c>
      <c r="E155" s="111" t="s">
        <v>739</v>
      </c>
    </row>
    <row r="156" spans="2:5">
      <c r="B156" s="109">
        <v>248</v>
      </c>
      <c r="D156" s="111" t="s">
        <v>160</v>
      </c>
      <c r="E156" s="111" t="s">
        <v>740</v>
      </c>
    </row>
    <row r="157" spans="2:5">
      <c r="B157" s="109">
        <v>249</v>
      </c>
      <c r="D157" s="111" t="s">
        <v>161</v>
      </c>
      <c r="E157" s="111" t="s">
        <v>741</v>
      </c>
    </row>
    <row r="158" spans="2:5">
      <c r="B158" s="109">
        <v>250</v>
      </c>
      <c r="D158" s="111" t="s">
        <v>458</v>
      </c>
      <c r="E158" s="111" t="s">
        <v>742</v>
      </c>
    </row>
    <row r="159" spans="2:5">
      <c r="B159" s="109">
        <v>251</v>
      </c>
      <c r="D159" s="111" t="s">
        <v>162</v>
      </c>
      <c r="E159" s="111" t="s">
        <v>743</v>
      </c>
    </row>
    <row r="160" spans="2:5">
      <c r="B160" s="109">
        <v>252</v>
      </c>
      <c r="D160" s="111" t="s">
        <v>163</v>
      </c>
      <c r="E160" s="111" t="s">
        <v>744</v>
      </c>
    </row>
    <row r="161" spans="2:5">
      <c r="B161" s="109">
        <v>253</v>
      </c>
      <c r="D161" s="111" t="s">
        <v>164</v>
      </c>
      <c r="E161" s="111" t="s">
        <v>745</v>
      </c>
    </row>
    <row r="162" spans="2:5">
      <c r="B162" s="109">
        <v>254</v>
      </c>
      <c r="D162" s="111" t="s">
        <v>459</v>
      </c>
      <c r="E162" s="111" t="s">
        <v>746</v>
      </c>
    </row>
    <row r="163" spans="2:5">
      <c r="B163" s="109">
        <v>255</v>
      </c>
      <c r="D163" s="111" t="s">
        <v>460</v>
      </c>
      <c r="E163" s="111" t="s">
        <v>747</v>
      </c>
    </row>
    <row r="164" spans="2:5">
      <c r="B164" s="109">
        <v>256</v>
      </c>
      <c r="D164" s="111" t="s">
        <v>461</v>
      </c>
      <c r="E164" s="111" t="s">
        <v>748</v>
      </c>
    </row>
    <row r="165" spans="2:5">
      <c r="B165" s="109">
        <v>257</v>
      </c>
      <c r="D165" s="111" t="s">
        <v>559</v>
      </c>
      <c r="E165" s="111" t="s">
        <v>749</v>
      </c>
    </row>
    <row r="166" spans="2:5">
      <c r="B166" s="109">
        <v>258</v>
      </c>
      <c r="D166" s="111" t="s">
        <v>165</v>
      </c>
      <c r="E166" s="111" t="s">
        <v>750</v>
      </c>
    </row>
    <row r="167" spans="2:5" ht="26.4">
      <c r="B167" s="109">
        <v>259</v>
      </c>
      <c r="D167" s="111" t="s">
        <v>166</v>
      </c>
      <c r="E167" s="111" t="s">
        <v>751</v>
      </c>
    </row>
    <row r="168" spans="2:5" ht="26.4">
      <c r="B168" s="109">
        <v>260</v>
      </c>
      <c r="D168" s="111" t="s">
        <v>167</v>
      </c>
      <c r="E168" s="111" t="s">
        <v>752</v>
      </c>
    </row>
    <row r="169" spans="2:5" ht="26.4">
      <c r="B169" s="109">
        <v>261</v>
      </c>
      <c r="D169" s="111" t="s">
        <v>168</v>
      </c>
      <c r="E169" s="111" t="s">
        <v>753</v>
      </c>
    </row>
    <row r="170" spans="2:5">
      <c r="B170" s="109">
        <v>262</v>
      </c>
      <c r="D170" s="111" t="s">
        <v>169</v>
      </c>
      <c r="E170" s="111" t="s">
        <v>754</v>
      </c>
    </row>
    <row r="171" spans="2:5">
      <c r="B171" s="109">
        <v>263</v>
      </c>
      <c r="D171" s="111" t="s">
        <v>170</v>
      </c>
      <c r="E171" s="111" t="s">
        <v>755</v>
      </c>
    </row>
    <row r="172" spans="2:5">
      <c r="B172" s="109">
        <v>264</v>
      </c>
      <c r="D172" s="111" t="s">
        <v>171</v>
      </c>
      <c r="E172" s="111" t="s">
        <v>756</v>
      </c>
    </row>
    <row r="173" spans="2:5">
      <c r="B173" s="109">
        <v>265</v>
      </c>
      <c r="D173" s="111" t="s">
        <v>172</v>
      </c>
      <c r="E173" s="111" t="s">
        <v>757</v>
      </c>
    </row>
    <row r="174" spans="2:5">
      <c r="B174" s="109">
        <v>266</v>
      </c>
      <c r="D174" s="111" t="s">
        <v>173</v>
      </c>
      <c r="E174" s="111" t="s">
        <v>758</v>
      </c>
    </row>
    <row r="175" spans="2:5" ht="26.4">
      <c r="B175" s="109">
        <v>267</v>
      </c>
      <c r="D175" s="111" t="s">
        <v>174</v>
      </c>
      <c r="E175" s="111" t="s">
        <v>759</v>
      </c>
    </row>
    <row r="176" spans="2:5">
      <c r="B176" s="109">
        <v>268</v>
      </c>
      <c r="D176" s="111" t="s">
        <v>175</v>
      </c>
      <c r="E176" s="111" t="s">
        <v>760</v>
      </c>
    </row>
    <row r="177" spans="2:5">
      <c r="B177" s="109">
        <v>269</v>
      </c>
      <c r="D177" s="111" t="s">
        <v>176</v>
      </c>
      <c r="E177" s="111" t="s">
        <v>761</v>
      </c>
    </row>
    <row r="178" spans="2:5">
      <c r="B178" s="109">
        <v>270</v>
      </c>
      <c r="D178" s="111" t="s">
        <v>177</v>
      </c>
      <c r="E178" s="111" t="s">
        <v>762</v>
      </c>
    </row>
    <row r="179" spans="2:5">
      <c r="B179" s="109">
        <v>271</v>
      </c>
      <c r="D179" s="111" t="s">
        <v>178</v>
      </c>
      <c r="E179" s="111" t="s">
        <v>763</v>
      </c>
    </row>
    <row r="180" spans="2:5">
      <c r="B180" s="109">
        <v>272</v>
      </c>
      <c r="D180" s="111" t="s">
        <v>179</v>
      </c>
      <c r="E180" s="111" t="s">
        <v>764</v>
      </c>
    </row>
    <row r="181" spans="2:5">
      <c r="B181" s="109">
        <v>273</v>
      </c>
      <c r="D181" s="111" t="s">
        <v>180</v>
      </c>
      <c r="E181" s="111" t="s">
        <v>765</v>
      </c>
    </row>
    <row r="182" spans="2:5">
      <c r="B182" s="109">
        <v>274</v>
      </c>
      <c r="D182" s="111" t="s">
        <v>462</v>
      </c>
      <c r="E182" s="111" t="s">
        <v>766</v>
      </c>
    </row>
    <row r="183" spans="2:5">
      <c r="B183" s="109">
        <v>275</v>
      </c>
      <c r="D183" s="111" t="s">
        <v>181</v>
      </c>
      <c r="E183" s="111" t="s">
        <v>767</v>
      </c>
    </row>
    <row r="184" spans="2:5">
      <c r="B184" s="109">
        <v>276</v>
      </c>
      <c r="D184" s="111" t="s">
        <v>463</v>
      </c>
      <c r="E184" s="111" t="s">
        <v>768</v>
      </c>
    </row>
    <row r="185" spans="2:5" ht="26.4">
      <c r="B185" s="109">
        <v>277</v>
      </c>
      <c r="D185" s="111" t="s">
        <v>182</v>
      </c>
    </row>
    <row r="186" spans="2:5">
      <c r="B186" s="109">
        <v>278</v>
      </c>
      <c r="D186" s="111" t="s">
        <v>183</v>
      </c>
      <c r="E186" s="111" t="s">
        <v>769</v>
      </c>
    </row>
    <row r="187" spans="2:5">
      <c r="B187" s="109">
        <v>279</v>
      </c>
      <c r="D187" s="111" t="s">
        <v>184</v>
      </c>
      <c r="E187" s="111" t="s">
        <v>770</v>
      </c>
    </row>
    <row r="188" spans="2:5">
      <c r="B188" s="109">
        <v>280</v>
      </c>
      <c r="D188" s="111" t="s">
        <v>185</v>
      </c>
      <c r="E188" s="111" t="s">
        <v>771</v>
      </c>
    </row>
    <row r="189" spans="2:5">
      <c r="B189" s="109">
        <v>281</v>
      </c>
      <c r="D189" s="111" t="s">
        <v>186</v>
      </c>
      <c r="E189" s="111" t="s">
        <v>772</v>
      </c>
    </row>
    <row r="190" spans="2:5">
      <c r="B190" s="109">
        <v>282</v>
      </c>
      <c r="D190" s="111" t="s">
        <v>464</v>
      </c>
      <c r="E190" s="111" t="s">
        <v>773</v>
      </c>
    </row>
    <row r="191" spans="2:5">
      <c r="B191" s="109">
        <v>283</v>
      </c>
      <c r="D191" s="111" t="s">
        <v>187</v>
      </c>
      <c r="E191" s="111" t="s">
        <v>774</v>
      </c>
    </row>
    <row r="192" spans="2:5">
      <c r="B192" s="109">
        <v>284</v>
      </c>
      <c r="D192" s="111" t="s">
        <v>188</v>
      </c>
      <c r="E192" s="111" t="s">
        <v>775</v>
      </c>
    </row>
    <row r="193" spans="2:5">
      <c r="B193" s="109">
        <v>285</v>
      </c>
      <c r="D193" s="111" t="s">
        <v>1</v>
      </c>
      <c r="E193" s="111" t="s">
        <v>1</v>
      </c>
    </row>
    <row r="194" spans="2:5">
      <c r="B194" s="109">
        <v>286</v>
      </c>
      <c r="D194" s="111" t="s">
        <v>1077</v>
      </c>
      <c r="E194" s="111" t="s">
        <v>1078</v>
      </c>
    </row>
    <row r="195" spans="2:5">
      <c r="B195" s="109">
        <v>287</v>
      </c>
      <c r="D195" s="111" t="s">
        <v>1061</v>
      </c>
      <c r="E195" s="111" t="s">
        <v>1062</v>
      </c>
    </row>
    <row r="196" spans="2:5">
      <c r="B196" s="109">
        <v>288</v>
      </c>
      <c r="D196" s="111" t="s">
        <v>2</v>
      </c>
      <c r="E196" s="111" t="s">
        <v>2</v>
      </c>
    </row>
    <row r="197" spans="2:5">
      <c r="B197" s="109">
        <v>289</v>
      </c>
      <c r="D197" s="111" t="s">
        <v>189</v>
      </c>
      <c r="E197" s="111" t="s">
        <v>190</v>
      </c>
    </row>
    <row r="198" spans="2:5">
      <c r="B198" s="109">
        <v>290</v>
      </c>
      <c r="D198" s="111" t="s">
        <v>191</v>
      </c>
      <c r="E198" s="111" t="s">
        <v>525</v>
      </c>
    </row>
    <row r="199" spans="2:5">
      <c r="B199" s="109">
        <v>291</v>
      </c>
      <c r="D199" s="111" t="s">
        <v>192</v>
      </c>
      <c r="E199" s="111" t="s">
        <v>776</v>
      </c>
    </row>
    <row r="200" spans="2:5">
      <c r="B200" s="109">
        <v>292</v>
      </c>
      <c r="D200" s="111" t="s">
        <v>193</v>
      </c>
      <c r="E200" s="111" t="s">
        <v>777</v>
      </c>
    </row>
    <row r="201" spans="2:5">
      <c r="B201" s="109">
        <v>293</v>
      </c>
      <c r="D201" s="111" t="s">
        <v>465</v>
      </c>
      <c r="E201" s="111" t="s">
        <v>778</v>
      </c>
    </row>
    <row r="202" spans="2:5">
      <c r="B202" s="109">
        <v>294</v>
      </c>
      <c r="D202" s="111" t="s">
        <v>466</v>
      </c>
      <c r="E202" s="111" t="s">
        <v>779</v>
      </c>
    </row>
    <row r="203" spans="2:5">
      <c r="B203" s="109">
        <v>295</v>
      </c>
      <c r="D203" s="111" t="s">
        <v>467</v>
      </c>
      <c r="E203" s="111" t="s">
        <v>778</v>
      </c>
    </row>
    <row r="204" spans="2:5">
      <c r="B204" s="109">
        <v>296</v>
      </c>
      <c r="D204" s="111" t="s">
        <v>194</v>
      </c>
      <c r="E204" s="111" t="s">
        <v>780</v>
      </c>
    </row>
    <row r="205" spans="2:5">
      <c r="B205" s="109">
        <v>297</v>
      </c>
      <c r="D205" s="111" t="s">
        <v>468</v>
      </c>
      <c r="E205" s="111" t="s">
        <v>781</v>
      </c>
    </row>
    <row r="206" spans="2:5">
      <c r="B206" s="109">
        <v>298</v>
      </c>
      <c r="D206" s="111" t="s">
        <v>195</v>
      </c>
      <c r="E206" s="111" t="s">
        <v>782</v>
      </c>
    </row>
    <row r="207" spans="2:5">
      <c r="B207" s="109">
        <v>299</v>
      </c>
      <c r="D207" s="111" t="s">
        <v>498</v>
      </c>
      <c r="E207" s="111" t="s">
        <v>783</v>
      </c>
    </row>
    <row r="208" spans="2:5">
      <c r="B208" s="109">
        <v>300</v>
      </c>
      <c r="D208" s="111" t="s">
        <v>499</v>
      </c>
      <c r="E208" s="111" t="s">
        <v>784</v>
      </c>
    </row>
    <row r="209" spans="2:5">
      <c r="B209" s="109">
        <v>301</v>
      </c>
      <c r="D209" s="111" t="s">
        <v>196</v>
      </c>
      <c r="E209" s="111" t="s">
        <v>785</v>
      </c>
    </row>
    <row r="210" spans="2:5">
      <c r="B210" s="109">
        <v>302</v>
      </c>
      <c r="D210" s="111" t="s">
        <v>469</v>
      </c>
      <c r="E210" s="111" t="s">
        <v>786</v>
      </c>
    </row>
    <row r="211" spans="2:5">
      <c r="B211" s="109">
        <v>303</v>
      </c>
      <c r="D211" s="111" t="s">
        <v>197</v>
      </c>
      <c r="E211" s="111" t="s">
        <v>787</v>
      </c>
    </row>
    <row r="212" spans="2:5">
      <c r="B212" s="109">
        <v>304</v>
      </c>
      <c r="D212" s="111" t="s">
        <v>198</v>
      </c>
      <c r="E212" s="111" t="s">
        <v>788</v>
      </c>
    </row>
    <row r="213" spans="2:5">
      <c r="B213" s="109">
        <v>305</v>
      </c>
      <c r="D213" s="111" t="s">
        <v>199</v>
      </c>
      <c r="E213" s="111" t="s">
        <v>540</v>
      </c>
    </row>
    <row r="214" spans="2:5" ht="26.4">
      <c r="B214" s="109">
        <v>306</v>
      </c>
      <c r="D214" s="111" t="s">
        <v>200</v>
      </c>
      <c r="E214" s="111" t="s">
        <v>789</v>
      </c>
    </row>
    <row r="215" spans="2:5" ht="26.4">
      <c r="B215" s="109">
        <v>307</v>
      </c>
      <c r="D215" s="111" t="s">
        <v>500</v>
      </c>
      <c r="E215" s="111" t="s">
        <v>790</v>
      </c>
    </row>
    <row r="216" spans="2:5">
      <c r="B216" s="109">
        <v>308</v>
      </c>
      <c r="D216" s="111" t="s">
        <v>501</v>
      </c>
      <c r="E216" s="111" t="s">
        <v>791</v>
      </c>
    </row>
    <row r="217" spans="2:5">
      <c r="B217" s="109">
        <v>309</v>
      </c>
      <c r="D217" s="111" t="s">
        <v>470</v>
      </c>
      <c r="E217" s="111" t="s">
        <v>792</v>
      </c>
    </row>
    <row r="218" spans="2:5">
      <c r="B218" s="109">
        <v>310</v>
      </c>
      <c r="D218" s="111" t="s">
        <v>201</v>
      </c>
      <c r="E218" s="111" t="s">
        <v>793</v>
      </c>
    </row>
    <row r="219" spans="2:5">
      <c r="B219" s="109">
        <v>311</v>
      </c>
      <c r="D219" s="111" t="s">
        <v>471</v>
      </c>
      <c r="E219" s="111" t="s">
        <v>794</v>
      </c>
    </row>
    <row r="220" spans="2:5">
      <c r="B220" s="109">
        <v>312</v>
      </c>
      <c r="D220" s="111" t="s">
        <v>472</v>
      </c>
      <c r="E220" s="111" t="s">
        <v>795</v>
      </c>
    </row>
    <row r="221" spans="2:5">
      <c r="B221" s="109">
        <v>313</v>
      </c>
      <c r="D221" s="111" t="s">
        <v>202</v>
      </c>
      <c r="E221" s="111" t="s">
        <v>796</v>
      </c>
    </row>
    <row r="222" spans="2:5">
      <c r="B222" s="109">
        <v>314</v>
      </c>
      <c r="D222" s="111" t="s">
        <v>203</v>
      </c>
      <c r="E222" s="111" t="s">
        <v>797</v>
      </c>
    </row>
    <row r="223" spans="2:5">
      <c r="B223" s="109">
        <v>315</v>
      </c>
      <c r="D223" s="111" t="s">
        <v>473</v>
      </c>
      <c r="E223" s="111" t="s">
        <v>798</v>
      </c>
    </row>
    <row r="224" spans="2:5">
      <c r="B224" s="109">
        <v>316</v>
      </c>
      <c r="D224" s="111" t="s">
        <v>1145</v>
      </c>
      <c r="E224" s="111" t="s">
        <v>1146</v>
      </c>
    </row>
    <row r="225" spans="2:5">
      <c r="B225" s="109">
        <v>317</v>
      </c>
      <c r="D225" s="111" t="s">
        <v>1106</v>
      </c>
      <c r="E225" s="111" t="s">
        <v>1108</v>
      </c>
    </row>
    <row r="226" spans="2:5" ht="26.4">
      <c r="B226" s="109">
        <v>318</v>
      </c>
      <c r="D226" s="111" t="s">
        <v>1107</v>
      </c>
      <c r="E226" s="111" t="s">
        <v>1109</v>
      </c>
    </row>
    <row r="227" spans="2:5">
      <c r="B227" s="109">
        <v>319</v>
      </c>
      <c r="D227" s="111" t="s">
        <v>204</v>
      </c>
      <c r="E227" s="111" t="s">
        <v>799</v>
      </c>
    </row>
    <row r="228" spans="2:5">
      <c r="B228" s="109">
        <v>320</v>
      </c>
      <c r="C228" s="110" t="s">
        <v>516</v>
      </c>
      <c r="D228" s="111" t="s">
        <v>526</v>
      </c>
      <c r="E228" s="111" t="s">
        <v>527</v>
      </c>
    </row>
    <row r="229" spans="2:5">
      <c r="B229" s="109">
        <v>321</v>
      </c>
      <c r="D229" s="111" t="s">
        <v>205</v>
      </c>
      <c r="E229" s="111" t="s">
        <v>800</v>
      </c>
    </row>
    <row r="230" spans="2:5">
      <c r="B230" s="109">
        <v>322</v>
      </c>
      <c r="D230" s="111" t="s">
        <v>206</v>
      </c>
      <c r="E230" s="111" t="s">
        <v>801</v>
      </c>
    </row>
    <row r="231" spans="2:5">
      <c r="B231" s="109">
        <v>323</v>
      </c>
      <c r="D231" s="111" t="s">
        <v>207</v>
      </c>
      <c r="E231" s="111" t="s">
        <v>802</v>
      </c>
    </row>
    <row r="232" spans="2:5">
      <c r="B232" s="109">
        <v>324</v>
      </c>
      <c r="D232" s="111" t="s">
        <v>208</v>
      </c>
      <c r="E232" s="111" t="s">
        <v>803</v>
      </c>
    </row>
    <row r="233" spans="2:5">
      <c r="B233" s="109">
        <v>325</v>
      </c>
      <c r="D233" s="111" t="s">
        <v>209</v>
      </c>
      <c r="E233" s="111" t="s">
        <v>804</v>
      </c>
    </row>
    <row r="234" spans="2:5">
      <c r="B234" s="109">
        <v>326</v>
      </c>
      <c r="D234" s="111" t="s">
        <v>1063</v>
      </c>
      <c r="E234" s="111" t="s">
        <v>1064</v>
      </c>
    </row>
    <row r="235" spans="2:5">
      <c r="B235" s="109">
        <v>327</v>
      </c>
      <c r="D235" s="111" t="s">
        <v>1067</v>
      </c>
      <c r="E235" s="111" t="s">
        <v>1068</v>
      </c>
    </row>
    <row r="236" spans="2:5">
      <c r="B236" s="109">
        <v>328</v>
      </c>
      <c r="D236" s="111" t="s">
        <v>1094</v>
      </c>
      <c r="E236" s="111" t="s">
        <v>1095</v>
      </c>
    </row>
    <row r="237" spans="2:5">
      <c r="B237" s="109">
        <v>329</v>
      </c>
      <c r="D237" s="111" t="s">
        <v>210</v>
      </c>
      <c r="E237" s="111" t="s">
        <v>805</v>
      </c>
    </row>
    <row r="238" spans="2:5" ht="39.6">
      <c r="B238" s="109">
        <v>330</v>
      </c>
      <c r="D238" s="111" t="s">
        <v>211</v>
      </c>
      <c r="E238" s="111" t="s">
        <v>806</v>
      </c>
    </row>
    <row r="239" spans="2:5">
      <c r="B239" s="109">
        <v>331</v>
      </c>
      <c r="D239" s="111" t="s">
        <v>212</v>
      </c>
      <c r="E239" s="111" t="s">
        <v>807</v>
      </c>
    </row>
    <row r="240" spans="2:5">
      <c r="B240" s="109">
        <v>332</v>
      </c>
      <c r="D240" s="111" t="s">
        <v>213</v>
      </c>
      <c r="E240" s="111" t="s">
        <v>808</v>
      </c>
    </row>
    <row r="241" spans="1:6">
      <c r="A241" s="113"/>
      <c r="B241" s="109">
        <v>333</v>
      </c>
      <c r="C241" s="114" t="s">
        <v>497</v>
      </c>
      <c r="D241" s="112" t="s">
        <v>528</v>
      </c>
      <c r="E241" s="112" t="s">
        <v>544</v>
      </c>
      <c r="F241" s="115"/>
    </row>
    <row r="242" spans="1:6">
      <c r="A242" s="113"/>
      <c r="B242" s="109">
        <v>334</v>
      </c>
      <c r="C242" s="114" t="s">
        <v>497</v>
      </c>
      <c r="D242" s="112" t="s">
        <v>529</v>
      </c>
      <c r="E242" s="112" t="s">
        <v>809</v>
      </c>
      <c r="F242" s="115"/>
    </row>
    <row r="243" spans="1:6">
      <c r="A243" s="113"/>
      <c r="B243" s="109">
        <v>335</v>
      </c>
      <c r="C243" s="114" t="s">
        <v>514</v>
      </c>
      <c r="D243" s="112" t="s">
        <v>530</v>
      </c>
      <c r="E243" s="112" t="s">
        <v>810</v>
      </c>
      <c r="F243" s="115"/>
    </row>
    <row r="244" spans="1:6">
      <c r="B244" s="109">
        <v>336</v>
      </c>
      <c r="D244" s="111" t="s">
        <v>214</v>
      </c>
      <c r="E244" s="111" t="s">
        <v>544</v>
      </c>
    </row>
    <row r="245" spans="1:6">
      <c r="B245" s="109">
        <v>337</v>
      </c>
      <c r="D245" s="111" t="s">
        <v>215</v>
      </c>
      <c r="E245" s="112" t="s">
        <v>811</v>
      </c>
    </row>
    <row r="246" spans="1:6">
      <c r="B246" s="109">
        <v>338</v>
      </c>
      <c r="D246" s="111" t="s">
        <v>216</v>
      </c>
      <c r="E246" s="111" t="s">
        <v>812</v>
      </c>
    </row>
    <row r="247" spans="1:6">
      <c r="B247" s="109">
        <v>339</v>
      </c>
      <c r="D247" s="111" t="s">
        <v>217</v>
      </c>
      <c r="E247" s="111" t="s">
        <v>813</v>
      </c>
    </row>
    <row r="248" spans="1:6">
      <c r="B248" s="109">
        <v>340</v>
      </c>
      <c r="D248" s="111" t="s">
        <v>218</v>
      </c>
      <c r="E248" s="111" t="s">
        <v>814</v>
      </c>
    </row>
    <row r="249" spans="1:6">
      <c r="B249" s="109">
        <v>341</v>
      </c>
      <c r="D249" s="111" t="s">
        <v>219</v>
      </c>
      <c r="E249" s="111" t="s">
        <v>815</v>
      </c>
    </row>
    <row r="250" spans="1:6">
      <c r="B250" s="109">
        <v>342</v>
      </c>
      <c r="D250" s="111" t="s">
        <v>220</v>
      </c>
      <c r="E250" s="111" t="s">
        <v>816</v>
      </c>
    </row>
    <row r="251" spans="1:6">
      <c r="B251" s="109">
        <v>343</v>
      </c>
      <c r="D251" s="111" t="s">
        <v>221</v>
      </c>
      <c r="E251" s="111" t="s">
        <v>817</v>
      </c>
    </row>
    <row r="252" spans="1:6">
      <c r="B252" s="109">
        <v>344</v>
      </c>
      <c r="D252" s="111" t="s">
        <v>222</v>
      </c>
      <c r="E252" s="111" t="s">
        <v>818</v>
      </c>
    </row>
    <row r="253" spans="1:6">
      <c r="B253" s="109">
        <v>345</v>
      </c>
      <c r="D253" s="111" t="s">
        <v>223</v>
      </c>
      <c r="E253" s="111" t="s">
        <v>819</v>
      </c>
    </row>
    <row r="254" spans="1:6">
      <c r="B254" s="109">
        <v>346</v>
      </c>
      <c r="D254" s="111" t="s">
        <v>224</v>
      </c>
      <c r="E254" s="111" t="s">
        <v>820</v>
      </c>
    </row>
    <row r="255" spans="1:6">
      <c r="B255" s="109">
        <v>347</v>
      </c>
      <c r="D255" s="111" t="s">
        <v>225</v>
      </c>
      <c r="E255" s="111" t="s">
        <v>821</v>
      </c>
    </row>
    <row r="256" spans="1:6">
      <c r="B256" s="109">
        <v>348</v>
      </c>
      <c r="D256" s="111" t="s">
        <v>226</v>
      </c>
      <c r="E256" s="111" t="s">
        <v>822</v>
      </c>
    </row>
    <row r="257" spans="2:5">
      <c r="B257" s="109">
        <v>349</v>
      </c>
      <c r="D257" s="111" t="s">
        <v>227</v>
      </c>
      <c r="E257" s="111" t="s">
        <v>823</v>
      </c>
    </row>
    <row r="258" spans="2:5">
      <c r="B258" s="109">
        <v>350</v>
      </c>
      <c r="D258" s="111" t="s">
        <v>228</v>
      </c>
      <c r="E258" s="111" t="s">
        <v>1048</v>
      </c>
    </row>
    <row r="259" spans="2:5">
      <c r="B259" s="109">
        <v>351</v>
      </c>
      <c r="D259" s="111" t="s">
        <v>229</v>
      </c>
      <c r="E259" s="111" t="s">
        <v>824</v>
      </c>
    </row>
    <row r="260" spans="2:5">
      <c r="B260" s="109">
        <v>352</v>
      </c>
      <c r="D260" s="111" t="s">
        <v>230</v>
      </c>
      <c r="E260" s="111" t="s">
        <v>825</v>
      </c>
    </row>
    <row r="261" spans="2:5">
      <c r="B261" s="109">
        <v>353</v>
      </c>
      <c r="D261" s="111" t="s">
        <v>231</v>
      </c>
      <c r="E261" s="111" t="s">
        <v>826</v>
      </c>
    </row>
    <row r="262" spans="2:5">
      <c r="B262" s="109">
        <v>354</v>
      </c>
      <c r="D262" s="111" t="s">
        <v>232</v>
      </c>
      <c r="E262" s="111" t="s">
        <v>1071</v>
      </c>
    </row>
    <row r="263" spans="2:5">
      <c r="B263" s="109">
        <v>355</v>
      </c>
      <c r="D263" s="111" t="s">
        <v>233</v>
      </c>
      <c r="E263" s="111" t="s">
        <v>1072</v>
      </c>
    </row>
    <row r="264" spans="2:5">
      <c r="B264" s="109">
        <v>356</v>
      </c>
      <c r="D264" s="111" t="s">
        <v>474</v>
      </c>
      <c r="E264" s="111" t="s">
        <v>474</v>
      </c>
    </row>
    <row r="265" spans="2:5">
      <c r="B265" s="109">
        <v>357</v>
      </c>
      <c r="D265" s="111" t="s">
        <v>234</v>
      </c>
      <c r="E265" s="111" t="s">
        <v>1049</v>
      </c>
    </row>
    <row r="266" spans="2:5" ht="26.4">
      <c r="B266" s="109">
        <v>358</v>
      </c>
      <c r="D266" s="111" t="s">
        <v>235</v>
      </c>
      <c r="E266" s="111" t="s">
        <v>827</v>
      </c>
    </row>
    <row r="267" spans="2:5">
      <c r="B267" s="109">
        <v>359</v>
      </c>
      <c r="D267" s="111" t="s">
        <v>236</v>
      </c>
      <c r="E267" s="111" t="s">
        <v>828</v>
      </c>
    </row>
    <row r="268" spans="2:5">
      <c r="B268" s="109">
        <v>360</v>
      </c>
      <c r="D268" s="111" t="s">
        <v>237</v>
      </c>
      <c r="E268" s="111" t="s">
        <v>829</v>
      </c>
    </row>
    <row r="269" spans="2:5">
      <c r="B269" s="109">
        <v>361</v>
      </c>
      <c r="D269" s="112" t="s">
        <v>531</v>
      </c>
      <c r="E269" s="111" t="s">
        <v>532</v>
      </c>
    </row>
    <row r="270" spans="2:5">
      <c r="B270" s="109">
        <v>362</v>
      </c>
      <c r="D270" s="111" t="s">
        <v>475</v>
      </c>
      <c r="E270" s="111" t="s">
        <v>830</v>
      </c>
    </row>
    <row r="271" spans="2:5">
      <c r="B271" s="109">
        <v>363</v>
      </c>
      <c r="D271" s="111" t="s">
        <v>238</v>
      </c>
      <c r="E271" s="111" t="s">
        <v>831</v>
      </c>
    </row>
    <row r="272" spans="2:5">
      <c r="B272" s="109">
        <v>364</v>
      </c>
      <c r="D272" s="111" t="s">
        <v>476</v>
      </c>
      <c r="E272" s="111" t="s">
        <v>997</v>
      </c>
    </row>
    <row r="273" spans="2:5">
      <c r="B273" s="109">
        <v>365</v>
      </c>
      <c r="D273" s="111" t="s">
        <v>239</v>
      </c>
      <c r="E273" s="111" t="s">
        <v>832</v>
      </c>
    </row>
    <row r="274" spans="2:5">
      <c r="B274" s="109">
        <v>366</v>
      </c>
      <c r="D274" s="111" t="s">
        <v>240</v>
      </c>
      <c r="E274" s="111" t="s">
        <v>833</v>
      </c>
    </row>
    <row r="275" spans="2:5">
      <c r="B275" s="109">
        <v>367</v>
      </c>
      <c r="D275" s="111" t="s">
        <v>241</v>
      </c>
      <c r="E275" s="111" t="s">
        <v>590</v>
      </c>
    </row>
    <row r="276" spans="2:5">
      <c r="B276" s="109">
        <v>368</v>
      </c>
      <c r="D276" s="111" t="s">
        <v>242</v>
      </c>
      <c r="E276" s="111" t="s">
        <v>834</v>
      </c>
    </row>
    <row r="277" spans="2:5">
      <c r="B277" s="109">
        <v>369</v>
      </c>
      <c r="D277" s="111" t="s">
        <v>243</v>
      </c>
      <c r="E277" s="111" t="s">
        <v>835</v>
      </c>
    </row>
    <row r="278" spans="2:5">
      <c r="B278" s="109">
        <v>370</v>
      </c>
      <c r="D278" s="111" t="s">
        <v>244</v>
      </c>
    </row>
    <row r="279" spans="2:5">
      <c r="B279" s="109">
        <v>371</v>
      </c>
      <c r="D279" s="111" t="s">
        <v>477</v>
      </c>
      <c r="E279" s="111" t="s">
        <v>836</v>
      </c>
    </row>
    <row r="280" spans="2:5" ht="26.4">
      <c r="B280" s="109">
        <v>372</v>
      </c>
      <c r="D280" s="111" t="s">
        <v>478</v>
      </c>
      <c r="E280" s="111" t="s">
        <v>837</v>
      </c>
    </row>
    <row r="281" spans="2:5" ht="26.4">
      <c r="B281" s="109">
        <v>373</v>
      </c>
      <c r="D281" s="111" t="s">
        <v>245</v>
      </c>
      <c r="E281" s="111" t="s">
        <v>838</v>
      </c>
    </row>
    <row r="282" spans="2:5">
      <c r="B282" s="109">
        <v>374</v>
      </c>
      <c r="D282" s="111" t="s">
        <v>246</v>
      </c>
      <c r="E282" s="111" t="s">
        <v>839</v>
      </c>
    </row>
    <row r="283" spans="2:5">
      <c r="B283" s="109">
        <v>375</v>
      </c>
      <c r="D283" s="111" t="s">
        <v>247</v>
      </c>
      <c r="E283" s="111" t="s">
        <v>840</v>
      </c>
    </row>
    <row r="284" spans="2:5">
      <c r="B284" s="109">
        <v>376</v>
      </c>
      <c r="D284" s="111" t="s">
        <v>248</v>
      </c>
      <c r="E284" s="111" t="s">
        <v>841</v>
      </c>
    </row>
    <row r="285" spans="2:5">
      <c r="B285" s="109">
        <v>377</v>
      </c>
      <c r="D285" s="111" t="s">
        <v>249</v>
      </c>
      <c r="E285" s="111" t="s">
        <v>842</v>
      </c>
    </row>
    <row r="286" spans="2:5">
      <c r="B286" s="109">
        <v>378</v>
      </c>
      <c r="D286" s="111" t="s">
        <v>250</v>
      </c>
      <c r="E286" s="111" t="s">
        <v>843</v>
      </c>
    </row>
    <row r="287" spans="2:5">
      <c r="B287" s="109">
        <v>379</v>
      </c>
      <c r="D287" s="111" t="s">
        <v>251</v>
      </c>
      <c r="E287" s="111" t="s">
        <v>844</v>
      </c>
    </row>
    <row r="288" spans="2:5">
      <c r="B288" s="109">
        <v>380</v>
      </c>
      <c r="D288" s="111" t="s">
        <v>252</v>
      </c>
      <c r="E288" s="111" t="s">
        <v>845</v>
      </c>
    </row>
    <row r="289" spans="2:5">
      <c r="B289" s="109">
        <v>381</v>
      </c>
      <c r="D289" s="111" t="s">
        <v>253</v>
      </c>
      <c r="E289" s="111" t="s">
        <v>577</v>
      </c>
    </row>
    <row r="290" spans="2:5">
      <c r="B290" s="109">
        <v>382</v>
      </c>
      <c r="D290" s="111" t="s">
        <v>254</v>
      </c>
      <c r="E290" s="111" t="s">
        <v>846</v>
      </c>
    </row>
    <row r="291" spans="2:5">
      <c r="B291" s="109">
        <v>383</v>
      </c>
      <c r="D291" s="111" t="s">
        <v>255</v>
      </c>
      <c r="E291" s="111" t="s">
        <v>847</v>
      </c>
    </row>
    <row r="292" spans="2:5">
      <c r="B292" s="109">
        <v>384</v>
      </c>
      <c r="D292" s="111" t="s">
        <v>256</v>
      </c>
      <c r="E292" s="111" t="s">
        <v>848</v>
      </c>
    </row>
    <row r="293" spans="2:5">
      <c r="B293" s="109">
        <v>385</v>
      </c>
      <c r="D293" s="111" t="s">
        <v>257</v>
      </c>
      <c r="E293" s="111" t="s">
        <v>849</v>
      </c>
    </row>
    <row r="294" spans="2:5">
      <c r="B294" s="109">
        <v>386</v>
      </c>
      <c r="D294" s="111" t="s">
        <v>258</v>
      </c>
      <c r="E294" s="111" t="s">
        <v>850</v>
      </c>
    </row>
    <row r="295" spans="2:5">
      <c r="B295" s="109">
        <v>387</v>
      </c>
      <c r="D295" s="111" t="s">
        <v>259</v>
      </c>
      <c r="E295" s="111" t="s">
        <v>851</v>
      </c>
    </row>
    <row r="296" spans="2:5">
      <c r="B296" s="109">
        <v>388</v>
      </c>
      <c r="D296" s="111" t="s">
        <v>260</v>
      </c>
      <c r="E296" s="111" t="s">
        <v>585</v>
      </c>
    </row>
    <row r="297" spans="2:5">
      <c r="B297" s="109">
        <v>389</v>
      </c>
      <c r="D297" s="111" t="s">
        <v>261</v>
      </c>
      <c r="E297" s="111" t="s">
        <v>852</v>
      </c>
    </row>
    <row r="298" spans="2:5">
      <c r="B298" s="109">
        <v>390</v>
      </c>
      <c r="D298" s="111" t="s">
        <v>262</v>
      </c>
      <c r="E298" s="111" t="s">
        <v>853</v>
      </c>
    </row>
    <row r="299" spans="2:5" ht="39.6">
      <c r="B299" s="109">
        <v>391</v>
      </c>
      <c r="D299" s="111" t="s">
        <v>263</v>
      </c>
      <c r="E299" s="111" t="s">
        <v>854</v>
      </c>
    </row>
    <row r="300" spans="2:5">
      <c r="B300" s="109">
        <v>392</v>
      </c>
      <c r="D300" s="111" t="s">
        <v>264</v>
      </c>
      <c r="E300" s="111" t="s">
        <v>855</v>
      </c>
    </row>
    <row r="301" spans="2:5" ht="26.4">
      <c r="B301" s="109">
        <v>393</v>
      </c>
      <c r="D301" s="111" t="s">
        <v>265</v>
      </c>
      <c r="E301" s="111" t="s">
        <v>856</v>
      </c>
    </row>
    <row r="302" spans="2:5">
      <c r="B302" s="109">
        <v>394</v>
      </c>
      <c r="D302" s="111" t="s">
        <v>266</v>
      </c>
      <c r="E302" s="111" t="s">
        <v>857</v>
      </c>
    </row>
    <row r="303" spans="2:5" ht="26.4">
      <c r="B303" s="109">
        <v>395</v>
      </c>
      <c r="D303" s="111" t="s">
        <v>267</v>
      </c>
      <c r="E303" s="111" t="s">
        <v>858</v>
      </c>
    </row>
    <row r="304" spans="2:5" ht="26.4">
      <c r="B304" s="109">
        <v>396</v>
      </c>
      <c r="D304" s="111" t="s">
        <v>268</v>
      </c>
      <c r="E304" s="111" t="s">
        <v>859</v>
      </c>
    </row>
    <row r="305" spans="2:5" ht="26.4">
      <c r="B305" s="109">
        <v>397</v>
      </c>
      <c r="D305" s="111" t="s">
        <v>269</v>
      </c>
      <c r="E305" s="111" t="s">
        <v>860</v>
      </c>
    </row>
    <row r="306" spans="2:5" ht="26.4">
      <c r="B306" s="109">
        <v>398</v>
      </c>
      <c r="D306" s="111" t="s">
        <v>270</v>
      </c>
      <c r="E306" s="111" t="s">
        <v>861</v>
      </c>
    </row>
    <row r="307" spans="2:5" ht="26.4">
      <c r="B307" s="109">
        <v>399</v>
      </c>
      <c r="D307" s="111" t="s">
        <v>271</v>
      </c>
      <c r="E307" s="111" t="s">
        <v>862</v>
      </c>
    </row>
    <row r="308" spans="2:5" ht="26.4">
      <c r="B308" s="109">
        <v>400</v>
      </c>
      <c r="D308" s="111" t="s">
        <v>272</v>
      </c>
      <c r="E308" s="111" t="s">
        <v>863</v>
      </c>
    </row>
    <row r="309" spans="2:5" ht="26.4">
      <c r="B309" s="109">
        <v>401</v>
      </c>
      <c r="D309" s="111" t="s">
        <v>273</v>
      </c>
      <c r="E309" s="111" t="s">
        <v>864</v>
      </c>
    </row>
    <row r="310" spans="2:5" ht="26.4">
      <c r="B310" s="109">
        <v>402</v>
      </c>
      <c r="D310" s="111" t="s">
        <v>274</v>
      </c>
      <c r="E310" s="111" t="s">
        <v>865</v>
      </c>
    </row>
    <row r="311" spans="2:5" ht="26.4">
      <c r="B311" s="109">
        <v>403</v>
      </c>
      <c r="D311" s="111" t="s">
        <v>275</v>
      </c>
      <c r="E311" s="111" t="s">
        <v>866</v>
      </c>
    </row>
    <row r="312" spans="2:5" ht="26.4">
      <c r="B312" s="109">
        <v>404</v>
      </c>
      <c r="D312" s="111" t="s">
        <v>276</v>
      </c>
      <c r="E312" s="111" t="s">
        <v>867</v>
      </c>
    </row>
    <row r="313" spans="2:5" ht="26.4">
      <c r="B313" s="109">
        <v>405</v>
      </c>
      <c r="D313" s="111" t="s">
        <v>277</v>
      </c>
      <c r="E313" s="111" t="s">
        <v>868</v>
      </c>
    </row>
    <row r="314" spans="2:5" ht="26.4">
      <c r="B314" s="109">
        <v>406</v>
      </c>
      <c r="D314" s="111" t="s">
        <v>278</v>
      </c>
      <c r="E314" s="111" t="s">
        <v>869</v>
      </c>
    </row>
    <row r="315" spans="2:5" ht="26.4">
      <c r="B315" s="109">
        <v>407</v>
      </c>
      <c r="D315" s="111" t="s">
        <v>279</v>
      </c>
      <c r="E315" s="111" t="s">
        <v>870</v>
      </c>
    </row>
    <row r="316" spans="2:5" ht="26.4">
      <c r="B316" s="109">
        <v>408</v>
      </c>
      <c r="D316" s="111" t="s">
        <v>280</v>
      </c>
      <c r="E316" s="111" t="s">
        <v>871</v>
      </c>
    </row>
    <row r="317" spans="2:5" ht="26.4">
      <c r="B317" s="109">
        <v>409</v>
      </c>
      <c r="D317" s="111" t="s">
        <v>281</v>
      </c>
      <c r="E317" s="111" t="s">
        <v>872</v>
      </c>
    </row>
    <row r="318" spans="2:5" ht="26.4">
      <c r="B318" s="109">
        <v>410</v>
      </c>
      <c r="D318" s="111" t="s">
        <v>282</v>
      </c>
      <c r="E318" s="111" t="s">
        <v>873</v>
      </c>
    </row>
    <row r="319" spans="2:5" ht="26.4">
      <c r="B319" s="109">
        <v>411</v>
      </c>
      <c r="D319" s="111" t="s">
        <v>283</v>
      </c>
      <c r="E319" s="111" t="s">
        <v>874</v>
      </c>
    </row>
    <row r="320" spans="2:5" ht="26.4">
      <c r="B320" s="109">
        <v>412</v>
      </c>
      <c r="D320" s="111" t="s">
        <v>284</v>
      </c>
      <c r="E320" s="111" t="s">
        <v>875</v>
      </c>
    </row>
    <row r="321" spans="2:5" ht="26.4">
      <c r="B321" s="109">
        <v>413</v>
      </c>
      <c r="D321" s="111" t="s">
        <v>285</v>
      </c>
      <c r="E321" s="111" t="s">
        <v>876</v>
      </c>
    </row>
    <row r="322" spans="2:5">
      <c r="B322" s="109">
        <v>414</v>
      </c>
      <c r="D322" s="111" t="s">
        <v>479</v>
      </c>
      <c r="E322" s="111" t="s">
        <v>877</v>
      </c>
    </row>
    <row r="323" spans="2:5">
      <c r="B323" s="109">
        <v>415</v>
      </c>
      <c r="D323" s="111" t="s">
        <v>480</v>
      </c>
      <c r="E323" s="111" t="s">
        <v>877</v>
      </c>
    </row>
    <row r="324" spans="2:5">
      <c r="B324" s="109">
        <v>416</v>
      </c>
      <c r="D324" s="111" t="s">
        <v>286</v>
      </c>
      <c r="E324" s="111" t="s">
        <v>878</v>
      </c>
    </row>
    <row r="325" spans="2:5" ht="26.4">
      <c r="B325" s="109">
        <v>417</v>
      </c>
      <c r="D325" s="111" t="s">
        <v>287</v>
      </c>
      <c r="E325" s="111" t="s">
        <v>879</v>
      </c>
    </row>
    <row r="326" spans="2:5">
      <c r="B326" s="109">
        <v>418</v>
      </c>
      <c r="D326" s="111" t="s">
        <v>288</v>
      </c>
      <c r="E326" s="111" t="s">
        <v>880</v>
      </c>
    </row>
    <row r="327" spans="2:5" ht="26.4">
      <c r="B327" s="109">
        <v>419</v>
      </c>
      <c r="D327" s="111" t="s">
        <v>289</v>
      </c>
      <c r="E327" s="111" t="s">
        <v>881</v>
      </c>
    </row>
    <row r="328" spans="2:5">
      <c r="B328" s="109">
        <v>420</v>
      </c>
      <c r="D328" s="111" t="s">
        <v>481</v>
      </c>
      <c r="E328" s="111" t="s">
        <v>882</v>
      </c>
    </row>
    <row r="329" spans="2:5" ht="26.4">
      <c r="B329" s="109">
        <v>421</v>
      </c>
      <c r="D329" s="111" t="s">
        <v>482</v>
      </c>
      <c r="E329" s="111" t="s">
        <v>883</v>
      </c>
    </row>
    <row r="330" spans="2:5">
      <c r="B330" s="109">
        <v>422</v>
      </c>
      <c r="D330" s="111" t="s">
        <v>290</v>
      </c>
      <c r="E330" s="111" t="s">
        <v>884</v>
      </c>
    </row>
    <row r="331" spans="2:5" ht="26.4">
      <c r="B331" s="109">
        <v>423</v>
      </c>
      <c r="D331" s="111" t="s">
        <v>291</v>
      </c>
      <c r="E331" s="111" t="s">
        <v>885</v>
      </c>
    </row>
    <row r="332" spans="2:5">
      <c r="B332" s="109">
        <v>424</v>
      </c>
      <c r="D332" s="111" t="s">
        <v>292</v>
      </c>
      <c r="E332" s="111" t="s">
        <v>886</v>
      </c>
    </row>
    <row r="333" spans="2:5" ht="39.6">
      <c r="B333" s="109">
        <v>425</v>
      </c>
      <c r="D333" s="111" t="s">
        <v>293</v>
      </c>
      <c r="E333" s="111" t="s">
        <v>887</v>
      </c>
    </row>
    <row r="334" spans="2:5">
      <c r="B334" s="109">
        <v>426</v>
      </c>
      <c r="D334" s="111" t="s">
        <v>294</v>
      </c>
      <c r="E334" s="111" t="s">
        <v>888</v>
      </c>
    </row>
    <row r="335" spans="2:5" ht="26.4">
      <c r="B335" s="109">
        <v>427</v>
      </c>
      <c r="D335" s="111" t="s">
        <v>295</v>
      </c>
      <c r="E335" s="111" t="s">
        <v>889</v>
      </c>
    </row>
    <row r="336" spans="2:5" ht="26.4">
      <c r="B336" s="109">
        <v>428</v>
      </c>
      <c r="D336" s="111" t="s">
        <v>296</v>
      </c>
      <c r="E336" s="111" t="s">
        <v>890</v>
      </c>
    </row>
    <row r="337" spans="1:6" ht="26.4">
      <c r="B337" s="109">
        <v>429</v>
      </c>
      <c r="D337" s="111" t="s">
        <v>297</v>
      </c>
      <c r="E337" s="111" t="s">
        <v>891</v>
      </c>
    </row>
    <row r="338" spans="1:6">
      <c r="B338" s="109">
        <v>430</v>
      </c>
      <c r="D338" s="111" t="s">
        <v>298</v>
      </c>
      <c r="E338" s="111" t="s">
        <v>892</v>
      </c>
    </row>
    <row r="339" spans="1:6">
      <c r="B339" s="109">
        <v>431</v>
      </c>
      <c r="D339" s="111" t="s">
        <v>299</v>
      </c>
      <c r="E339" s="111" t="s">
        <v>893</v>
      </c>
    </row>
    <row r="340" spans="1:6">
      <c r="B340" s="109">
        <v>432</v>
      </c>
      <c r="D340" s="111" t="s">
        <v>300</v>
      </c>
      <c r="E340" s="111" t="s">
        <v>894</v>
      </c>
    </row>
    <row r="341" spans="1:6">
      <c r="B341" s="109">
        <v>433</v>
      </c>
      <c r="D341" s="111" t="s">
        <v>301</v>
      </c>
      <c r="E341" s="111" t="s">
        <v>895</v>
      </c>
    </row>
    <row r="342" spans="1:6">
      <c r="B342" s="109">
        <v>434</v>
      </c>
      <c r="D342" s="111" t="s">
        <v>302</v>
      </c>
      <c r="E342" s="111" t="s">
        <v>896</v>
      </c>
    </row>
    <row r="343" spans="1:6">
      <c r="B343" s="109">
        <v>435</v>
      </c>
      <c r="D343" s="111" t="s">
        <v>303</v>
      </c>
      <c r="E343" s="111" t="s">
        <v>897</v>
      </c>
    </row>
    <row r="344" spans="1:6">
      <c r="B344" s="109">
        <v>436</v>
      </c>
      <c r="D344" s="111" t="s">
        <v>483</v>
      </c>
      <c r="E344" s="111" t="s">
        <v>898</v>
      </c>
    </row>
    <row r="345" spans="1:6" ht="39.6">
      <c r="A345" s="112"/>
      <c r="B345" s="109">
        <v>437</v>
      </c>
      <c r="C345" s="119" t="s">
        <v>516</v>
      </c>
      <c r="D345" s="112" t="s">
        <v>533</v>
      </c>
      <c r="E345" s="112" t="s">
        <v>899</v>
      </c>
      <c r="F345" s="115"/>
    </row>
    <row r="346" spans="1:6" ht="39.6">
      <c r="B346" s="109">
        <v>438</v>
      </c>
      <c r="D346" s="111" t="s">
        <v>304</v>
      </c>
      <c r="E346" s="111" t="s">
        <v>900</v>
      </c>
    </row>
    <row r="347" spans="1:6">
      <c r="B347" s="109">
        <v>439</v>
      </c>
      <c r="D347" s="111" t="s">
        <v>305</v>
      </c>
      <c r="E347" s="111" t="s">
        <v>901</v>
      </c>
    </row>
    <row r="348" spans="1:6">
      <c r="B348" s="109">
        <v>440</v>
      </c>
      <c r="D348" s="111" t="s">
        <v>306</v>
      </c>
      <c r="E348" s="111" t="s">
        <v>902</v>
      </c>
    </row>
    <row r="349" spans="1:6">
      <c r="B349" s="109">
        <v>441</v>
      </c>
      <c r="D349" s="111" t="s">
        <v>307</v>
      </c>
      <c r="E349" s="111" t="s">
        <v>903</v>
      </c>
    </row>
    <row r="350" spans="1:6" ht="26.4">
      <c r="B350" s="109">
        <v>442</v>
      </c>
      <c r="D350" s="111" t="s">
        <v>1020</v>
      </c>
      <c r="E350" s="111" t="s">
        <v>1021</v>
      </c>
    </row>
    <row r="351" spans="1:6">
      <c r="B351" s="109">
        <v>443</v>
      </c>
      <c r="D351" s="111" t="s">
        <v>308</v>
      </c>
      <c r="E351" s="111" t="s">
        <v>904</v>
      </c>
    </row>
    <row r="352" spans="1:6">
      <c r="B352" s="109">
        <v>444</v>
      </c>
      <c r="D352" s="111" t="s">
        <v>309</v>
      </c>
      <c r="E352" s="111" t="s">
        <v>905</v>
      </c>
    </row>
    <row r="353" spans="2:5">
      <c r="B353" s="109">
        <v>445</v>
      </c>
      <c r="D353" s="111" t="s">
        <v>310</v>
      </c>
      <c r="E353" s="111" t="s">
        <v>906</v>
      </c>
    </row>
    <row r="354" spans="2:5">
      <c r="B354" s="109">
        <v>446</v>
      </c>
      <c r="D354" s="111" t="s">
        <v>311</v>
      </c>
      <c r="E354" s="111" t="s">
        <v>907</v>
      </c>
    </row>
    <row r="355" spans="2:5">
      <c r="B355" s="109">
        <v>447</v>
      </c>
      <c r="D355" s="111" t="s">
        <v>484</v>
      </c>
      <c r="E355" s="111" t="s">
        <v>908</v>
      </c>
    </row>
    <row r="356" spans="2:5">
      <c r="B356" s="109">
        <v>448</v>
      </c>
      <c r="D356" s="111" t="s">
        <v>312</v>
      </c>
      <c r="E356" s="111" t="s">
        <v>909</v>
      </c>
    </row>
    <row r="357" spans="2:5">
      <c r="B357" s="109">
        <v>449</v>
      </c>
      <c r="D357" s="111" t="s">
        <v>485</v>
      </c>
      <c r="E357" s="111" t="s">
        <v>910</v>
      </c>
    </row>
    <row r="358" spans="2:5" ht="26.4">
      <c r="B358" s="109">
        <v>450</v>
      </c>
      <c r="D358" s="111" t="s">
        <v>313</v>
      </c>
      <c r="E358" s="111" t="s">
        <v>911</v>
      </c>
    </row>
    <row r="359" spans="2:5">
      <c r="B359" s="109">
        <v>451</v>
      </c>
      <c r="D359" s="111" t="s">
        <v>314</v>
      </c>
      <c r="E359" s="111" t="s">
        <v>912</v>
      </c>
    </row>
    <row r="360" spans="2:5">
      <c r="B360" s="109">
        <v>452</v>
      </c>
      <c r="D360" s="111" t="s">
        <v>315</v>
      </c>
      <c r="E360" s="111" t="s">
        <v>913</v>
      </c>
    </row>
    <row r="361" spans="2:5">
      <c r="B361" s="109">
        <v>453</v>
      </c>
      <c r="D361" s="111" t="s">
        <v>316</v>
      </c>
      <c r="E361" s="111" t="s">
        <v>914</v>
      </c>
    </row>
    <row r="362" spans="2:5" ht="39.6">
      <c r="B362" s="109">
        <v>454</v>
      </c>
      <c r="D362" s="111" t="s">
        <v>383</v>
      </c>
      <c r="E362" s="111" t="s">
        <v>915</v>
      </c>
    </row>
    <row r="363" spans="2:5">
      <c r="B363" s="109">
        <v>455</v>
      </c>
      <c r="D363" s="111" t="s">
        <v>317</v>
      </c>
      <c r="E363" s="111" t="s">
        <v>916</v>
      </c>
    </row>
    <row r="364" spans="2:5">
      <c r="B364" s="109">
        <v>456</v>
      </c>
      <c r="D364" s="111" t="s">
        <v>318</v>
      </c>
      <c r="E364" s="111" t="s">
        <v>917</v>
      </c>
    </row>
    <row r="365" spans="2:5">
      <c r="B365" s="109">
        <v>457</v>
      </c>
      <c r="D365" s="111" t="s">
        <v>319</v>
      </c>
      <c r="E365" s="111" t="s">
        <v>918</v>
      </c>
    </row>
    <row r="366" spans="2:5">
      <c r="B366" s="109">
        <v>458</v>
      </c>
      <c r="D366" s="111" t="s">
        <v>320</v>
      </c>
      <c r="E366" s="111" t="s">
        <v>919</v>
      </c>
    </row>
    <row r="367" spans="2:5">
      <c r="B367" s="109">
        <v>459</v>
      </c>
      <c r="D367" s="111" t="s">
        <v>321</v>
      </c>
      <c r="E367" s="111" t="s">
        <v>920</v>
      </c>
    </row>
    <row r="368" spans="2:5" ht="26.4">
      <c r="B368" s="109">
        <v>460</v>
      </c>
      <c r="D368" s="111" t="s">
        <v>322</v>
      </c>
      <c r="E368" s="111" t="s">
        <v>921</v>
      </c>
    </row>
    <row r="369" spans="1:6">
      <c r="B369" s="109">
        <v>461</v>
      </c>
      <c r="D369" s="111" t="s">
        <v>323</v>
      </c>
      <c r="E369" s="111" t="s">
        <v>922</v>
      </c>
    </row>
    <row r="370" spans="1:6">
      <c r="B370" s="109">
        <v>462</v>
      </c>
      <c r="D370" s="111" t="s">
        <v>324</v>
      </c>
      <c r="E370" s="111" t="s">
        <v>923</v>
      </c>
    </row>
    <row r="371" spans="1:6">
      <c r="B371" s="109">
        <v>463</v>
      </c>
      <c r="D371" s="111" t="s">
        <v>325</v>
      </c>
      <c r="E371" s="111" t="s">
        <v>924</v>
      </c>
    </row>
    <row r="372" spans="1:6" ht="26.4">
      <c r="B372" s="109">
        <v>464</v>
      </c>
      <c r="D372" s="111" t="s">
        <v>486</v>
      </c>
      <c r="E372" s="111" t="s">
        <v>925</v>
      </c>
    </row>
    <row r="373" spans="1:6">
      <c r="B373" s="109">
        <v>465</v>
      </c>
      <c r="D373" s="111" t="s">
        <v>326</v>
      </c>
      <c r="E373" s="111" t="s">
        <v>926</v>
      </c>
    </row>
    <row r="374" spans="1:6">
      <c r="B374" s="109">
        <v>466</v>
      </c>
      <c r="D374" s="111" t="s">
        <v>327</v>
      </c>
      <c r="E374" s="111" t="s">
        <v>927</v>
      </c>
    </row>
    <row r="375" spans="1:6">
      <c r="B375" s="109">
        <v>467</v>
      </c>
      <c r="D375" s="111" t="s">
        <v>328</v>
      </c>
      <c r="E375" s="111" t="s">
        <v>928</v>
      </c>
    </row>
    <row r="376" spans="1:6">
      <c r="B376" s="109">
        <v>468</v>
      </c>
      <c r="D376" s="111" t="s">
        <v>487</v>
      </c>
      <c r="E376" s="111" t="s">
        <v>929</v>
      </c>
    </row>
    <row r="377" spans="1:6" ht="26.4">
      <c r="B377" s="109">
        <v>469</v>
      </c>
      <c r="D377" s="111" t="s">
        <v>488</v>
      </c>
      <c r="E377" s="111" t="s">
        <v>930</v>
      </c>
    </row>
    <row r="378" spans="1:6">
      <c r="B378" s="109">
        <v>470</v>
      </c>
      <c r="D378" s="111" t="s">
        <v>329</v>
      </c>
      <c r="E378" s="111" t="s">
        <v>931</v>
      </c>
    </row>
    <row r="379" spans="1:6">
      <c r="B379" s="109">
        <v>471</v>
      </c>
      <c r="D379" s="111" t="s">
        <v>330</v>
      </c>
      <c r="E379" s="111" t="s">
        <v>932</v>
      </c>
    </row>
    <row r="380" spans="1:6">
      <c r="B380" s="109">
        <v>472</v>
      </c>
      <c r="D380" s="111" t="s">
        <v>331</v>
      </c>
      <c r="E380" s="111" t="s">
        <v>933</v>
      </c>
    </row>
    <row r="381" spans="1:6" ht="39.6">
      <c r="B381" s="109">
        <v>473</v>
      </c>
      <c r="D381" s="111" t="s">
        <v>332</v>
      </c>
      <c r="E381" s="111" t="s">
        <v>934</v>
      </c>
    </row>
    <row r="382" spans="1:6">
      <c r="B382" s="109">
        <v>474</v>
      </c>
      <c r="D382" s="111" t="s">
        <v>333</v>
      </c>
      <c r="E382" s="111" t="s">
        <v>935</v>
      </c>
    </row>
    <row r="383" spans="1:6">
      <c r="A383" s="113"/>
      <c r="B383" s="109">
        <v>475</v>
      </c>
      <c r="C383" s="114" t="s">
        <v>497</v>
      </c>
      <c r="D383" s="112" t="s">
        <v>503</v>
      </c>
      <c r="E383" s="112" t="s">
        <v>936</v>
      </c>
      <c r="F383" s="115"/>
    </row>
    <row r="384" spans="1:6">
      <c r="A384" s="113"/>
      <c r="B384" s="109">
        <v>476</v>
      </c>
      <c r="C384" s="114" t="s">
        <v>497</v>
      </c>
      <c r="D384" s="112" t="s">
        <v>534</v>
      </c>
      <c r="E384" s="112" t="s">
        <v>937</v>
      </c>
      <c r="F384" s="115"/>
    </row>
    <row r="385" spans="2:5">
      <c r="B385" s="109">
        <v>477</v>
      </c>
      <c r="D385" s="111" t="s">
        <v>334</v>
      </c>
      <c r="E385" s="112" t="s">
        <v>938</v>
      </c>
    </row>
    <row r="386" spans="2:5">
      <c r="B386" s="109">
        <v>478</v>
      </c>
      <c r="D386" s="111" t="s">
        <v>335</v>
      </c>
      <c r="E386" s="111" t="s">
        <v>939</v>
      </c>
    </row>
    <row r="387" spans="2:5">
      <c r="B387" s="109">
        <v>479</v>
      </c>
      <c r="D387" s="111" t="s">
        <v>336</v>
      </c>
      <c r="E387" s="111" t="s">
        <v>940</v>
      </c>
    </row>
    <row r="388" spans="2:5" ht="26.4">
      <c r="B388" s="109">
        <v>480</v>
      </c>
      <c r="D388" s="111" t="s">
        <v>337</v>
      </c>
      <c r="E388" s="111" t="s">
        <v>941</v>
      </c>
    </row>
    <row r="389" spans="2:5">
      <c r="B389" s="109">
        <v>481</v>
      </c>
      <c r="D389" s="111" t="s">
        <v>338</v>
      </c>
      <c r="E389" s="111" t="s">
        <v>942</v>
      </c>
    </row>
    <row r="390" spans="2:5" ht="26.4">
      <c r="B390" s="109">
        <v>482</v>
      </c>
      <c r="D390" s="111" t="s">
        <v>339</v>
      </c>
      <c r="E390" s="111" t="s">
        <v>943</v>
      </c>
    </row>
    <row r="391" spans="2:5">
      <c r="B391" s="109">
        <v>483</v>
      </c>
      <c r="D391" s="111" t="s">
        <v>340</v>
      </c>
      <c r="E391" s="111" t="s">
        <v>1047</v>
      </c>
    </row>
    <row r="392" spans="2:5">
      <c r="B392" s="109">
        <v>484</v>
      </c>
      <c r="D392" s="111" t="s">
        <v>341</v>
      </c>
      <c r="E392" s="111" t="s">
        <v>944</v>
      </c>
    </row>
    <row r="393" spans="2:5">
      <c r="B393" s="109">
        <v>485</v>
      </c>
      <c r="D393" s="111" t="s">
        <v>342</v>
      </c>
      <c r="E393" s="111" t="s">
        <v>945</v>
      </c>
    </row>
    <row r="394" spans="2:5">
      <c r="B394" s="109">
        <v>486</v>
      </c>
      <c r="D394" s="111" t="s">
        <v>343</v>
      </c>
      <c r="E394" s="111" t="s">
        <v>946</v>
      </c>
    </row>
    <row r="395" spans="2:5">
      <c r="B395" s="109">
        <v>487</v>
      </c>
      <c r="D395" s="111" t="s">
        <v>344</v>
      </c>
      <c r="E395" s="111" t="s">
        <v>947</v>
      </c>
    </row>
    <row r="396" spans="2:5">
      <c r="B396" s="109">
        <v>488</v>
      </c>
      <c r="D396" s="111" t="s">
        <v>345</v>
      </c>
      <c r="E396" s="111" t="s">
        <v>948</v>
      </c>
    </row>
    <row r="397" spans="2:5">
      <c r="B397" s="109">
        <v>489</v>
      </c>
      <c r="D397" s="111" t="s">
        <v>346</v>
      </c>
      <c r="E397" s="111" t="s">
        <v>346</v>
      </c>
    </row>
    <row r="398" spans="2:5">
      <c r="B398" s="109">
        <v>490</v>
      </c>
      <c r="D398" s="111" t="s">
        <v>489</v>
      </c>
      <c r="E398" s="111" t="s">
        <v>949</v>
      </c>
    </row>
    <row r="399" spans="2:5">
      <c r="B399" s="109">
        <v>491</v>
      </c>
      <c r="D399" s="111" t="s">
        <v>347</v>
      </c>
      <c r="E399" s="111" t="s">
        <v>950</v>
      </c>
    </row>
    <row r="400" spans="2:5">
      <c r="B400" s="109">
        <v>492</v>
      </c>
      <c r="D400" s="111" t="s">
        <v>348</v>
      </c>
      <c r="E400" s="111" t="s">
        <v>348</v>
      </c>
    </row>
    <row r="401" spans="2:5">
      <c r="B401" s="109">
        <v>493</v>
      </c>
      <c r="D401" s="111" t="s">
        <v>490</v>
      </c>
    </row>
    <row r="402" spans="2:5">
      <c r="B402" s="109">
        <v>494</v>
      </c>
      <c r="D402" s="111" t="s">
        <v>349</v>
      </c>
      <c r="E402" s="111" t="s">
        <v>951</v>
      </c>
    </row>
    <row r="403" spans="2:5">
      <c r="B403" s="109">
        <v>495</v>
      </c>
      <c r="D403" s="111" t="s">
        <v>491</v>
      </c>
      <c r="E403" s="111" t="s">
        <v>952</v>
      </c>
    </row>
    <row r="404" spans="2:5">
      <c r="B404" s="109">
        <v>496</v>
      </c>
      <c r="D404" s="111" t="s">
        <v>492</v>
      </c>
      <c r="E404" s="111" t="s">
        <v>953</v>
      </c>
    </row>
    <row r="405" spans="2:5">
      <c r="B405" s="109">
        <v>497</v>
      </c>
      <c r="D405" s="111" t="s">
        <v>493</v>
      </c>
      <c r="E405" s="111" t="s">
        <v>952</v>
      </c>
    </row>
    <row r="406" spans="2:5">
      <c r="B406" s="109">
        <v>498</v>
      </c>
      <c r="D406" s="111" t="s">
        <v>350</v>
      </c>
      <c r="E406" s="111" t="s">
        <v>541</v>
      </c>
    </row>
    <row r="407" spans="2:5">
      <c r="B407" s="109">
        <v>499</v>
      </c>
      <c r="D407" s="111" t="s">
        <v>351</v>
      </c>
      <c r="E407" s="111" t="s">
        <v>954</v>
      </c>
    </row>
    <row r="408" spans="2:5">
      <c r="B408" s="109">
        <v>500</v>
      </c>
      <c r="D408" s="111" t="s">
        <v>352</v>
      </c>
      <c r="E408" s="111" t="s">
        <v>955</v>
      </c>
    </row>
    <row r="409" spans="2:5">
      <c r="B409" s="109">
        <v>501</v>
      </c>
      <c r="D409" s="111" t="s">
        <v>353</v>
      </c>
      <c r="E409" s="111" t="s">
        <v>956</v>
      </c>
    </row>
    <row r="410" spans="2:5">
      <c r="B410" s="109">
        <v>502</v>
      </c>
      <c r="D410" s="111" t="s">
        <v>354</v>
      </c>
    </row>
    <row r="411" spans="2:5">
      <c r="B411" s="109">
        <v>503</v>
      </c>
      <c r="D411" s="111" t="s">
        <v>355</v>
      </c>
    </row>
    <row r="412" spans="2:5">
      <c r="B412" s="109">
        <v>504</v>
      </c>
      <c r="D412" s="111" t="s">
        <v>356</v>
      </c>
      <c r="E412" s="111" t="s">
        <v>957</v>
      </c>
    </row>
    <row r="413" spans="2:5">
      <c r="B413" s="109">
        <v>505</v>
      </c>
      <c r="D413" s="111" t="s">
        <v>494</v>
      </c>
      <c r="E413" s="111" t="s">
        <v>958</v>
      </c>
    </row>
    <row r="414" spans="2:5">
      <c r="B414" s="109">
        <v>506</v>
      </c>
      <c r="D414" s="111" t="s">
        <v>357</v>
      </c>
      <c r="E414" s="111" t="s">
        <v>959</v>
      </c>
    </row>
    <row r="415" spans="2:5">
      <c r="B415" s="109">
        <v>507</v>
      </c>
      <c r="D415" s="111" t="s">
        <v>420</v>
      </c>
      <c r="E415" s="111" t="s">
        <v>960</v>
      </c>
    </row>
    <row r="416" spans="2:5">
      <c r="B416" s="109">
        <v>508</v>
      </c>
      <c r="D416" s="111" t="s">
        <v>358</v>
      </c>
      <c r="E416" s="111" t="s">
        <v>959</v>
      </c>
    </row>
    <row r="417" spans="1:6" ht="26.4">
      <c r="A417" s="112"/>
      <c r="B417" s="109">
        <v>509</v>
      </c>
      <c r="C417" s="112"/>
      <c r="D417" s="112" t="s">
        <v>535</v>
      </c>
      <c r="E417" s="112" t="s">
        <v>961</v>
      </c>
      <c r="F417" s="115"/>
    </row>
    <row r="418" spans="1:6">
      <c r="B418" s="109">
        <v>510</v>
      </c>
      <c r="D418" s="111" t="s">
        <v>359</v>
      </c>
      <c r="E418" s="111" t="s">
        <v>359</v>
      </c>
    </row>
    <row r="419" spans="1:6">
      <c r="B419" s="109">
        <v>511</v>
      </c>
      <c r="D419" s="111" t="s">
        <v>360</v>
      </c>
      <c r="E419" s="111" t="s">
        <v>962</v>
      </c>
    </row>
    <row r="420" spans="1:6">
      <c r="B420" s="109">
        <v>512</v>
      </c>
      <c r="D420" s="111" t="s">
        <v>361</v>
      </c>
      <c r="E420" s="111" t="s">
        <v>963</v>
      </c>
    </row>
    <row r="421" spans="1:6">
      <c r="B421" s="109">
        <v>513</v>
      </c>
      <c r="D421" s="111" t="s">
        <v>495</v>
      </c>
      <c r="E421" s="111" t="s">
        <v>964</v>
      </c>
    </row>
    <row r="422" spans="1:6">
      <c r="B422" s="109">
        <v>514</v>
      </c>
      <c r="D422" s="111" t="s">
        <v>362</v>
      </c>
      <c r="E422" s="111" t="s">
        <v>965</v>
      </c>
    </row>
    <row r="423" spans="1:6">
      <c r="B423" s="109">
        <v>515</v>
      </c>
      <c r="D423" s="111" t="s">
        <v>363</v>
      </c>
      <c r="E423" s="111" t="s">
        <v>966</v>
      </c>
    </row>
    <row r="424" spans="1:6">
      <c r="B424" s="109">
        <v>516</v>
      </c>
      <c r="D424" s="111" t="s">
        <v>364</v>
      </c>
      <c r="E424" s="111" t="s">
        <v>967</v>
      </c>
    </row>
    <row r="425" spans="1:6">
      <c r="B425" s="109">
        <v>517</v>
      </c>
      <c r="D425" s="111" t="s">
        <v>496</v>
      </c>
      <c r="E425" s="111" t="s">
        <v>968</v>
      </c>
    </row>
    <row r="426" spans="1:6" ht="26.4">
      <c r="B426" s="109">
        <v>518</v>
      </c>
      <c r="D426" s="111" t="s">
        <v>365</v>
      </c>
      <c r="E426" s="111" t="s">
        <v>969</v>
      </c>
    </row>
    <row r="427" spans="1:6">
      <c r="B427" s="109">
        <v>519</v>
      </c>
      <c r="D427" s="111" t="s">
        <v>366</v>
      </c>
      <c r="E427" s="111" t="s">
        <v>967</v>
      </c>
    </row>
    <row r="428" spans="1:6">
      <c r="B428" s="109">
        <v>520</v>
      </c>
      <c r="D428" s="111" t="s">
        <v>367</v>
      </c>
      <c r="E428" s="111" t="s">
        <v>970</v>
      </c>
    </row>
    <row r="429" spans="1:6">
      <c r="B429" s="109">
        <v>521</v>
      </c>
      <c r="D429" s="111" t="s">
        <v>368</v>
      </c>
      <c r="E429" s="111" t="s">
        <v>971</v>
      </c>
    </row>
    <row r="430" spans="1:6">
      <c r="B430" s="109">
        <v>522</v>
      </c>
      <c r="D430" s="111" t="s">
        <v>369</v>
      </c>
      <c r="E430" s="111" t="s">
        <v>972</v>
      </c>
    </row>
    <row r="431" spans="1:6" s="112" customFormat="1">
      <c r="A431" s="108"/>
      <c r="B431" s="109">
        <v>523</v>
      </c>
      <c r="C431" s="110"/>
      <c r="D431" s="111" t="s">
        <v>370</v>
      </c>
      <c r="E431" s="111" t="s">
        <v>973</v>
      </c>
      <c r="F431" s="108"/>
    </row>
    <row r="432" spans="1:6" s="112" customFormat="1">
      <c r="A432" s="108"/>
      <c r="B432" s="109">
        <v>524</v>
      </c>
      <c r="C432" s="110"/>
      <c r="D432" s="111" t="s">
        <v>371</v>
      </c>
      <c r="E432" s="111" t="s">
        <v>974</v>
      </c>
      <c r="F432" s="108"/>
    </row>
    <row r="433" spans="1:6" s="113" customFormat="1">
      <c r="A433" s="108"/>
      <c r="B433" s="109">
        <v>525</v>
      </c>
      <c r="C433" s="110"/>
      <c r="D433" s="111" t="s">
        <v>372</v>
      </c>
      <c r="E433" s="111" t="s">
        <v>966</v>
      </c>
      <c r="F433" s="108"/>
    </row>
    <row r="434" spans="1:6" s="113" customFormat="1" ht="26.4">
      <c r="A434" s="108"/>
      <c r="B434" s="109">
        <v>526</v>
      </c>
      <c r="C434" s="110"/>
      <c r="D434" s="111" t="s">
        <v>373</v>
      </c>
      <c r="E434" s="111" t="s">
        <v>975</v>
      </c>
      <c r="F434" s="108"/>
    </row>
    <row r="435" spans="1:6" s="113" customFormat="1" ht="26.4">
      <c r="A435" s="108"/>
      <c r="B435" s="109">
        <v>527</v>
      </c>
      <c r="C435" s="110"/>
      <c r="D435" s="111" t="s">
        <v>374</v>
      </c>
      <c r="E435" s="111" t="s">
        <v>976</v>
      </c>
      <c r="F435" s="108"/>
    </row>
    <row r="436" spans="1:6" s="113" customFormat="1">
      <c r="A436" s="108"/>
      <c r="B436" s="109">
        <v>528</v>
      </c>
      <c r="C436" s="110"/>
      <c r="D436" s="111" t="s">
        <v>375</v>
      </c>
      <c r="E436" s="111" t="s">
        <v>977</v>
      </c>
      <c r="F436" s="108"/>
    </row>
    <row r="437" spans="1:6" s="113" customFormat="1" ht="26.4">
      <c r="A437" s="108"/>
      <c r="B437" s="109">
        <v>529</v>
      </c>
      <c r="C437" s="110"/>
      <c r="D437" s="111" t="s">
        <v>376</v>
      </c>
      <c r="E437" s="111" t="s">
        <v>978</v>
      </c>
      <c r="F437" s="108"/>
    </row>
    <row r="438" spans="1:6" s="113" customFormat="1">
      <c r="A438" s="108"/>
      <c r="B438" s="109">
        <v>530</v>
      </c>
      <c r="C438" s="110"/>
      <c r="D438" s="111" t="s">
        <v>377</v>
      </c>
      <c r="E438" s="111" t="s">
        <v>979</v>
      </c>
      <c r="F438" s="108"/>
    </row>
    <row r="439" spans="1:6" s="113" customFormat="1">
      <c r="A439" s="108"/>
      <c r="B439" s="109">
        <v>531</v>
      </c>
      <c r="C439" s="110"/>
      <c r="D439" s="111" t="s">
        <v>378</v>
      </c>
      <c r="E439" s="111" t="s">
        <v>980</v>
      </c>
      <c r="F439" s="108"/>
    </row>
    <row r="440" spans="1:6" s="113" customFormat="1">
      <c r="A440" s="108"/>
      <c r="B440" s="109">
        <v>532</v>
      </c>
      <c r="C440" s="110"/>
      <c r="D440" s="111" t="s">
        <v>379</v>
      </c>
      <c r="E440" s="111" t="s">
        <v>981</v>
      </c>
      <c r="F440" s="108"/>
    </row>
    <row r="441" spans="1:6" s="113" customFormat="1">
      <c r="A441" s="108"/>
      <c r="B441" s="109">
        <v>533</v>
      </c>
      <c r="C441" s="110"/>
      <c r="D441" s="111" t="s">
        <v>380</v>
      </c>
      <c r="E441" s="111" t="s">
        <v>982</v>
      </c>
      <c r="F441" s="108"/>
    </row>
    <row r="442" spans="1:6" s="113" customFormat="1">
      <c r="A442" s="108"/>
      <c r="B442" s="109">
        <v>534</v>
      </c>
      <c r="C442" s="110"/>
      <c r="D442" s="111" t="s">
        <v>381</v>
      </c>
      <c r="E442" s="111" t="s">
        <v>983</v>
      </c>
      <c r="F442" s="108"/>
    </row>
    <row r="443" spans="1:6" s="113" customFormat="1">
      <c r="A443" s="108"/>
      <c r="B443" s="109">
        <v>535</v>
      </c>
      <c r="C443" s="110"/>
      <c r="D443" s="111" t="s">
        <v>382</v>
      </c>
      <c r="E443" s="111" t="s">
        <v>984</v>
      </c>
      <c r="F443" s="108"/>
    </row>
    <row r="444" spans="1:6">
      <c r="B444" s="109">
        <v>536</v>
      </c>
      <c r="D444" s="111" t="s">
        <v>537</v>
      </c>
      <c r="E444" s="111" t="s">
        <v>985</v>
      </c>
    </row>
    <row r="445" spans="1:6">
      <c r="B445" s="109">
        <v>537</v>
      </c>
      <c r="D445" s="111" t="s">
        <v>1044</v>
      </c>
      <c r="E445" s="111" t="s">
        <v>1045</v>
      </c>
    </row>
    <row r="446" spans="1:6">
      <c r="B446" s="109">
        <v>538</v>
      </c>
      <c r="D446" s="111" t="s">
        <v>570</v>
      </c>
      <c r="E446" s="111" t="s">
        <v>986</v>
      </c>
    </row>
    <row r="447" spans="1:6">
      <c r="B447" s="109">
        <v>539</v>
      </c>
      <c r="D447" s="111" t="s">
        <v>566</v>
      </c>
      <c r="E447" s="111" t="s">
        <v>568</v>
      </c>
    </row>
    <row r="448" spans="1:6">
      <c r="B448" s="109">
        <v>540</v>
      </c>
      <c r="D448" s="111" t="s">
        <v>567</v>
      </c>
      <c r="E448" s="111" t="s">
        <v>987</v>
      </c>
    </row>
    <row r="449" spans="2:5">
      <c r="B449" s="109">
        <v>541</v>
      </c>
      <c r="D449" s="111" t="s">
        <v>565</v>
      </c>
      <c r="E449" s="111" t="s">
        <v>569</v>
      </c>
    </row>
    <row r="450" spans="2:5">
      <c r="B450" s="109">
        <v>542</v>
      </c>
      <c r="C450" s="110" t="s">
        <v>615</v>
      </c>
      <c r="D450" s="111" t="s">
        <v>608</v>
      </c>
      <c r="E450" s="120" t="s">
        <v>599</v>
      </c>
    </row>
    <row r="451" spans="2:5">
      <c r="B451" s="109">
        <v>543</v>
      </c>
      <c r="C451" s="110" t="s">
        <v>615</v>
      </c>
      <c r="D451" s="111" t="s">
        <v>609</v>
      </c>
      <c r="E451" s="120" t="s">
        <v>600</v>
      </c>
    </row>
    <row r="452" spans="2:5">
      <c r="B452" s="109">
        <v>544</v>
      </c>
      <c r="C452" s="110" t="s">
        <v>615</v>
      </c>
      <c r="D452" s="108" t="s">
        <v>610</v>
      </c>
      <c r="E452" s="120" t="s">
        <v>601</v>
      </c>
    </row>
    <row r="453" spans="2:5">
      <c r="B453" s="109">
        <v>545</v>
      </c>
      <c r="C453" s="110" t="s">
        <v>615</v>
      </c>
      <c r="D453" s="108" t="s">
        <v>611</v>
      </c>
      <c r="E453" s="120" t="s">
        <v>602</v>
      </c>
    </row>
    <row r="454" spans="2:5">
      <c r="B454" s="109">
        <v>546</v>
      </c>
      <c r="C454" s="110" t="s">
        <v>615</v>
      </c>
      <c r="D454" s="108" t="s">
        <v>431</v>
      </c>
      <c r="E454" s="120" t="s">
        <v>603</v>
      </c>
    </row>
    <row r="455" spans="2:5">
      <c r="B455" s="109">
        <v>547</v>
      </c>
      <c r="C455" s="110" t="s">
        <v>615</v>
      </c>
      <c r="D455" s="108" t="s">
        <v>430</v>
      </c>
      <c r="E455" s="120" t="s">
        <v>604</v>
      </c>
    </row>
    <row r="456" spans="2:5">
      <c r="B456" s="109">
        <v>548</v>
      </c>
      <c r="C456" s="110" t="s">
        <v>615</v>
      </c>
      <c r="D456" s="108" t="s">
        <v>612</v>
      </c>
      <c r="E456" s="120" t="s">
        <v>605</v>
      </c>
    </row>
    <row r="457" spans="2:5">
      <c r="B457" s="109">
        <v>549</v>
      </c>
      <c r="C457" s="110" t="s">
        <v>615</v>
      </c>
      <c r="D457" s="108" t="s">
        <v>613</v>
      </c>
      <c r="E457" s="120" t="s">
        <v>606</v>
      </c>
    </row>
    <row r="458" spans="2:5">
      <c r="B458" s="109">
        <v>550</v>
      </c>
      <c r="C458" s="110" t="s">
        <v>615</v>
      </c>
      <c r="D458" s="108" t="s">
        <v>614</v>
      </c>
      <c r="E458" s="120" t="s">
        <v>988</v>
      </c>
    </row>
    <row r="459" spans="2:5">
      <c r="B459" s="109">
        <v>551</v>
      </c>
      <c r="C459" s="110" t="s">
        <v>615</v>
      </c>
      <c r="D459" s="108" t="s">
        <v>989</v>
      </c>
      <c r="E459" s="120" t="s">
        <v>990</v>
      </c>
    </row>
    <row r="460" spans="2:5">
      <c r="B460" s="109">
        <v>552</v>
      </c>
      <c r="C460" s="110" t="s">
        <v>615</v>
      </c>
      <c r="D460" s="108" t="s">
        <v>1018</v>
      </c>
      <c r="E460" s="120" t="s">
        <v>1019</v>
      </c>
    </row>
    <row r="461" spans="2:5">
      <c r="B461" s="109">
        <v>553</v>
      </c>
      <c r="C461" s="110" t="s">
        <v>615</v>
      </c>
      <c r="D461" s="108" t="s">
        <v>991</v>
      </c>
      <c r="E461" s="120" t="s">
        <v>992</v>
      </c>
    </row>
    <row r="462" spans="2:5">
      <c r="B462" s="109">
        <v>554</v>
      </c>
      <c r="C462" s="110" t="s">
        <v>615</v>
      </c>
      <c r="D462" s="108" t="s">
        <v>1016</v>
      </c>
      <c r="E462" s="120" t="s">
        <v>1017</v>
      </c>
    </row>
    <row r="463" spans="2:5">
      <c r="B463" s="109">
        <v>555</v>
      </c>
      <c r="C463" s="110" t="s">
        <v>615</v>
      </c>
      <c r="D463" s="108" t="s">
        <v>993</v>
      </c>
      <c r="E463" s="120" t="s">
        <v>994</v>
      </c>
    </row>
    <row r="464" spans="2:5">
      <c r="B464" s="109">
        <v>556</v>
      </c>
      <c r="C464" s="110" t="s">
        <v>615</v>
      </c>
      <c r="D464" s="111" t="s">
        <v>995</v>
      </c>
      <c r="E464" s="111" t="s">
        <v>996</v>
      </c>
    </row>
    <row r="465" spans="2:5">
      <c r="B465" s="109">
        <v>557</v>
      </c>
      <c r="C465" s="110" t="s">
        <v>615</v>
      </c>
      <c r="D465" s="111" t="s">
        <v>1014</v>
      </c>
      <c r="E465" s="111" t="s">
        <v>1015</v>
      </c>
    </row>
    <row r="466" spans="2:5">
      <c r="B466" s="109">
        <v>558</v>
      </c>
      <c r="C466" s="110" t="s">
        <v>615</v>
      </c>
      <c r="D466" s="111" t="s">
        <v>999</v>
      </c>
      <c r="E466" s="111" t="s">
        <v>1001</v>
      </c>
    </row>
    <row r="467" spans="2:5">
      <c r="B467" s="109">
        <v>559</v>
      </c>
      <c r="C467" s="110" t="s">
        <v>615</v>
      </c>
      <c r="D467" s="111" t="s">
        <v>1000</v>
      </c>
      <c r="E467" s="111" t="s">
        <v>1002</v>
      </c>
    </row>
    <row r="468" spans="2:5">
      <c r="B468" s="109">
        <v>560</v>
      </c>
      <c r="D468" s="111" t="s">
        <v>1003</v>
      </c>
      <c r="E468" s="111" t="s">
        <v>1004</v>
      </c>
    </row>
    <row r="469" spans="2:5">
      <c r="B469" s="109">
        <v>561</v>
      </c>
      <c r="C469" s="110" t="s">
        <v>615</v>
      </c>
      <c r="D469" s="111" t="s">
        <v>1011</v>
      </c>
      <c r="E469" s="111" t="s">
        <v>1050</v>
      </c>
    </row>
    <row r="470" spans="2:5">
      <c r="B470" s="109">
        <v>562</v>
      </c>
      <c r="C470" s="110" t="s">
        <v>615</v>
      </c>
      <c r="D470" s="111" t="s">
        <v>1012</v>
      </c>
      <c r="E470" s="111" t="s">
        <v>1013</v>
      </c>
    </row>
    <row r="471" spans="2:5">
      <c r="B471" s="109">
        <v>563</v>
      </c>
      <c r="C471" s="110" t="s">
        <v>1030</v>
      </c>
      <c r="D471" s="111" t="s">
        <v>1026</v>
      </c>
      <c r="E471" s="111" t="s">
        <v>1022</v>
      </c>
    </row>
    <row r="472" spans="2:5">
      <c r="B472" s="109">
        <v>564</v>
      </c>
      <c r="C472" s="110" t="s">
        <v>1030</v>
      </c>
      <c r="D472" s="111" t="s">
        <v>1025</v>
      </c>
      <c r="E472" s="111" t="s">
        <v>1023</v>
      </c>
    </row>
    <row r="473" spans="2:5">
      <c r="B473" s="109">
        <v>565</v>
      </c>
      <c r="C473" s="110" t="s">
        <v>1030</v>
      </c>
      <c r="D473" s="111" t="s">
        <v>1034</v>
      </c>
      <c r="E473" s="111" t="s">
        <v>1035</v>
      </c>
    </row>
    <row r="474" spans="2:5">
      <c r="B474" s="109">
        <v>566</v>
      </c>
      <c r="C474" s="110" t="s">
        <v>1030</v>
      </c>
      <c r="D474" s="111" t="s">
        <v>1027</v>
      </c>
      <c r="E474" s="111" t="s">
        <v>1028</v>
      </c>
    </row>
    <row r="475" spans="2:5" ht="26.4">
      <c r="B475" s="109">
        <v>567</v>
      </c>
      <c r="C475" s="110" t="s">
        <v>1030</v>
      </c>
      <c r="D475" s="111" t="s">
        <v>1024</v>
      </c>
      <c r="E475" s="111" t="s">
        <v>1029</v>
      </c>
    </row>
    <row r="476" spans="2:5">
      <c r="B476" s="109">
        <v>568</v>
      </c>
      <c r="C476" s="110" t="s">
        <v>1030</v>
      </c>
      <c r="D476" s="111" t="s">
        <v>1031</v>
      </c>
      <c r="E476" s="111" t="s">
        <v>1032</v>
      </c>
    </row>
    <row r="477" spans="2:5">
      <c r="B477" s="109">
        <v>569</v>
      </c>
      <c r="D477" s="111" t="s">
        <v>1103</v>
      </c>
      <c r="E477" s="111" t="s">
        <v>1065</v>
      </c>
    </row>
    <row r="478" spans="2:5">
      <c r="B478" s="109">
        <v>570</v>
      </c>
      <c r="D478" s="111" t="s">
        <v>1104</v>
      </c>
      <c r="E478" s="111" t="s">
        <v>1081</v>
      </c>
    </row>
    <row r="479" spans="2:5">
      <c r="B479" s="109">
        <v>571</v>
      </c>
      <c r="D479" s="111" t="s">
        <v>1105</v>
      </c>
      <c r="E479" s="111" t="s">
        <v>1066</v>
      </c>
    </row>
    <row r="480" spans="2:5">
      <c r="B480" s="109">
        <v>572</v>
      </c>
      <c r="D480" s="111" t="s">
        <v>1082</v>
      </c>
      <c r="E480" s="111" t="s">
        <v>1083</v>
      </c>
    </row>
    <row r="481" spans="2:5">
      <c r="B481" s="109">
        <v>573</v>
      </c>
      <c r="D481" s="111" t="s">
        <v>1089</v>
      </c>
      <c r="E481" s="111" t="s">
        <v>1084</v>
      </c>
    </row>
    <row r="482" spans="2:5">
      <c r="B482" s="109">
        <v>574</v>
      </c>
      <c r="D482" s="111" t="s">
        <v>1085</v>
      </c>
      <c r="E482" s="111" t="s">
        <v>1086</v>
      </c>
    </row>
    <row r="483" spans="2:5">
      <c r="B483" s="109">
        <v>575</v>
      </c>
      <c r="D483" s="111" t="s">
        <v>1087</v>
      </c>
      <c r="E483" s="111" t="s">
        <v>1088</v>
      </c>
    </row>
    <row r="484" spans="2:5">
      <c r="B484" s="109">
        <v>576</v>
      </c>
      <c r="D484" s="111" t="s">
        <v>1085</v>
      </c>
      <c r="E484" s="111" t="s">
        <v>1086</v>
      </c>
    </row>
    <row r="485" spans="2:5">
      <c r="B485" s="109">
        <v>577</v>
      </c>
      <c r="D485" s="111" t="s">
        <v>1090</v>
      </c>
      <c r="E485" s="111" t="s">
        <v>1091</v>
      </c>
    </row>
    <row r="486" spans="2:5">
      <c r="B486" s="109">
        <v>578</v>
      </c>
      <c r="D486" s="111" t="s">
        <v>1092</v>
      </c>
      <c r="E486" s="111" t="s">
        <v>1093</v>
      </c>
    </row>
    <row r="487" spans="2:5">
      <c r="B487" s="109">
        <v>579</v>
      </c>
      <c r="D487" s="111" t="s">
        <v>1160</v>
      </c>
      <c r="E487" s="111" t="s">
        <v>1161</v>
      </c>
    </row>
    <row r="488" spans="2:5">
      <c r="B488" s="109">
        <v>580</v>
      </c>
      <c r="D488" s="111" t="s">
        <v>1162</v>
      </c>
      <c r="E488" s="111" t="s">
        <v>1162</v>
      </c>
    </row>
    <row r="489" spans="2:5">
      <c r="B489" s="109">
        <v>581</v>
      </c>
      <c r="D489" s="111" t="s">
        <v>1163</v>
      </c>
      <c r="E489" s="111" t="s">
        <v>1164</v>
      </c>
    </row>
    <row r="490" spans="2:5">
      <c r="B490" s="109">
        <v>582</v>
      </c>
      <c r="D490" s="111" t="s">
        <v>1165</v>
      </c>
      <c r="E490" s="111" t="s">
        <v>1166</v>
      </c>
    </row>
    <row r="491" spans="2:5">
      <c r="B491" s="109">
        <v>583</v>
      </c>
      <c r="D491" s="111" t="s">
        <v>1252</v>
      </c>
      <c r="E491" s="111" t="s">
        <v>1253</v>
      </c>
    </row>
  </sheetData>
  <sortState ref="A9:F442">
    <sortCondition ref="E9:E442"/>
  </sortState>
  <phoneticPr fontId="2"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F100"/>
  <sheetViews>
    <sheetView zoomScale="81" zoomScaleNormal="81" workbookViewId="0">
      <selection activeCell="L21" sqref="L21"/>
    </sheetView>
  </sheetViews>
  <sheetFormatPr defaultColWidth="9.59765625" defaultRowHeight="13.8"/>
  <cols>
    <col min="1" max="1" width="9.8984375" style="72" bestFit="1" customWidth="1"/>
    <col min="2" max="2" width="10.59765625" style="72" bestFit="1" customWidth="1"/>
    <col min="3" max="12" width="12.09765625" style="72" bestFit="1" customWidth="1"/>
    <col min="13" max="13" width="32.59765625" style="72" bestFit="1" customWidth="1"/>
    <col min="14" max="14" width="14.09765625" style="72" bestFit="1" customWidth="1"/>
    <col min="15" max="16" width="11.8984375" style="72" bestFit="1" customWidth="1"/>
    <col min="17" max="17" width="15.3984375" style="72" bestFit="1" customWidth="1"/>
    <col min="18" max="18" width="17" style="73" bestFit="1" customWidth="1"/>
    <col min="19" max="19" width="13.5" style="124" bestFit="1" customWidth="1"/>
    <col min="20" max="20" width="13.69921875" style="124" bestFit="1" customWidth="1"/>
    <col min="21" max="21" width="13.8984375" style="73" bestFit="1" customWidth="1"/>
    <col min="22" max="22" width="15.69921875" style="71" bestFit="1" customWidth="1"/>
    <col min="23" max="23" width="9.5" style="129" bestFit="1" customWidth="1"/>
    <col min="24" max="24" width="10.8984375" style="129" bestFit="1" customWidth="1"/>
    <col min="25" max="25" width="10.69921875" style="71" bestFit="1" customWidth="1"/>
    <col min="26" max="26" width="12.3984375" style="71" bestFit="1" customWidth="1"/>
    <col min="27" max="27" width="12.69921875" style="71" bestFit="1" customWidth="1"/>
    <col min="28" max="28" width="15.3984375" style="71" bestFit="1" customWidth="1"/>
    <col min="29" max="29" width="9.59765625" style="71"/>
    <col min="30" max="30" width="9.59765625" style="74"/>
    <col min="31" max="32" width="9.59765625" style="124"/>
    <col min="33" max="16384" width="9.59765625" style="71"/>
  </cols>
  <sheetData>
    <row r="1" spans="1:28">
      <c r="A1" s="69" t="s">
        <v>1159</v>
      </c>
      <c r="B1" s="69" t="s">
        <v>384</v>
      </c>
      <c r="C1" s="69" t="s">
        <v>1147</v>
      </c>
      <c r="D1" s="69" t="s">
        <v>1148</v>
      </c>
      <c r="E1" s="69" t="s">
        <v>1149</v>
      </c>
      <c r="F1" s="69" t="s">
        <v>1150</v>
      </c>
      <c r="G1" s="69" t="s">
        <v>1151</v>
      </c>
      <c r="H1" s="69" t="s">
        <v>1152</v>
      </c>
      <c r="I1" s="69" t="s">
        <v>1153</v>
      </c>
      <c r="J1" s="69" t="s">
        <v>1154</v>
      </c>
      <c r="K1" s="69" t="s">
        <v>1155</v>
      </c>
      <c r="L1" s="69" t="s">
        <v>1156</v>
      </c>
      <c r="M1" s="69" t="s">
        <v>385</v>
      </c>
      <c r="N1" s="69" t="s">
        <v>386</v>
      </c>
      <c r="O1" s="69" t="s">
        <v>387</v>
      </c>
      <c r="P1" s="69" t="s">
        <v>388</v>
      </c>
      <c r="Q1" s="69" t="s">
        <v>1073</v>
      </c>
      <c r="R1" s="69" t="s">
        <v>1074</v>
      </c>
      <c r="S1" s="69" t="s">
        <v>1158</v>
      </c>
      <c r="T1" s="69" t="s">
        <v>1051</v>
      </c>
      <c r="U1" s="69" t="s">
        <v>1052</v>
      </c>
      <c r="V1" s="70" t="s">
        <v>1054</v>
      </c>
      <c r="W1" s="128" t="s">
        <v>1055</v>
      </c>
      <c r="X1" s="128" t="s">
        <v>1056</v>
      </c>
      <c r="Y1" s="70" t="s">
        <v>1075</v>
      </c>
      <c r="Z1" s="70" t="s">
        <v>1076</v>
      </c>
      <c r="AA1" s="70" t="s">
        <v>1110</v>
      </c>
      <c r="AB1" s="70" t="s">
        <v>1053</v>
      </c>
    </row>
    <row r="2" spans="1:28">
      <c r="A2" s="122" t="s">
        <v>1174</v>
      </c>
      <c r="B2" s="122" t="s">
        <v>1168</v>
      </c>
      <c r="C2" s="122" t="s">
        <v>1058</v>
      </c>
      <c r="D2" s="122" t="s">
        <v>1167</v>
      </c>
      <c r="E2" s="122" t="s">
        <v>1168</v>
      </c>
      <c r="M2" s="122" t="s">
        <v>1286</v>
      </c>
      <c r="N2" s="122" t="s">
        <v>1258</v>
      </c>
      <c r="O2" s="126">
        <v>43696</v>
      </c>
      <c r="P2" s="126">
        <v>43697</v>
      </c>
      <c r="Q2" s="126">
        <v>43696</v>
      </c>
      <c r="R2" s="127">
        <v>43701</v>
      </c>
      <c r="S2" s="124">
        <v>34</v>
      </c>
      <c r="T2" s="124">
        <v>1</v>
      </c>
      <c r="U2" s="73">
        <v>1</v>
      </c>
      <c r="V2" s="71">
        <v>1</v>
      </c>
      <c r="W2" s="129">
        <v>1</v>
      </c>
      <c r="X2" s="129">
        <v>1</v>
      </c>
      <c r="AA2" s="71">
        <v>1</v>
      </c>
    </row>
    <row r="3" spans="1:28">
      <c r="A3" s="122" t="s">
        <v>1174</v>
      </c>
      <c r="B3" s="122" t="s">
        <v>1168</v>
      </c>
      <c r="C3" s="122" t="s">
        <v>1058</v>
      </c>
      <c r="D3" s="122" t="s">
        <v>1167</v>
      </c>
      <c r="E3" s="122" t="s">
        <v>1168</v>
      </c>
      <c r="M3" s="122" t="s">
        <v>1286</v>
      </c>
      <c r="N3" s="122" t="s">
        <v>1264</v>
      </c>
      <c r="O3" s="126">
        <v>43696</v>
      </c>
      <c r="P3" s="126">
        <v>43697</v>
      </c>
      <c r="Q3" s="126">
        <v>43696</v>
      </c>
      <c r="R3" s="127">
        <v>43701</v>
      </c>
      <c r="S3" s="124">
        <v>34</v>
      </c>
      <c r="T3" s="124">
        <v>1</v>
      </c>
      <c r="U3" s="73">
        <v>1</v>
      </c>
      <c r="V3" s="71">
        <v>1</v>
      </c>
      <c r="W3" s="129">
        <v>1</v>
      </c>
      <c r="X3" s="129">
        <v>1</v>
      </c>
      <c r="AA3" s="71">
        <v>1</v>
      </c>
    </row>
    <row r="4" spans="1:28">
      <c r="A4" s="122" t="s">
        <v>1175</v>
      </c>
      <c r="B4" s="122" t="s">
        <v>1288</v>
      </c>
      <c r="C4" s="122" t="s">
        <v>1058</v>
      </c>
      <c r="D4" s="122" t="s">
        <v>1167</v>
      </c>
      <c r="E4" s="122" t="s">
        <v>1169</v>
      </c>
      <c r="F4" s="122" t="s">
        <v>1288</v>
      </c>
      <c r="M4" s="122" t="s">
        <v>1289</v>
      </c>
      <c r="N4" s="122" t="s">
        <v>1258</v>
      </c>
      <c r="O4" s="126">
        <v>43700</v>
      </c>
      <c r="P4" s="126">
        <v>43706</v>
      </c>
      <c r="Q4" s="126">
        <v>43696</v>
      </c>
      <c r="R4" s="127">
        <v>43701</v>
      </c>
      <c r="S4" s="124">
        <v>34</v>
      </c>
      <c r="T4" s="124">
        <v>1</v>
      </c>
      <c r="U4" s="73">
        <v>1</v>
      </c>
      <c r="V4" s="71">
        <v>1</v>
      </c>
      <c r="W4" s="129">
        <v>1</v>
      </c>
      <c r="X4" s="129">
        <v>1</v>
      </c>
      <c r="AA4" s="71">
        <v>1</v>
      </c>
    </row>
    <row r="5" spans="1:28">
      <c r="A5" s="122" t="s">
        <v>1175</v>
      </c>
      <c r="B5" s="122" t="s">
        <v>1288</v>
      </c>
      <c r="C5" s="122" t="s">
        <v>1058</v>
      </c>
      <c r="D5" s="122" t="s">
        <v>1167</v>
      </c>
      <c r="E5" s="122" t="s">
        <v>1169</v>
      </c>
      <c r="F5" s="122" t="s">
        <v>1288</v>
      </c>
      <c r="M5" s="122" t="s">
        <v>1289</v>
      </c>
      <c r="N5" s="122" t="s">
        <v>1258</v>
      </c>
      <c r="O5" s="126">
        <v>43700</v>
      </c>
      <c r="P5" s="126">
        <v>43706</v>
      </c>
      <c r="Q5" s="126">
        <v>43702</v>
      </c>
      <c r="R5" s="127">
        <v>43708</v>
      </c>
      <c r="S5" s="124">
        <v>35</v>
      </c>
      <c r="T5" s="124">
        <v>4</v>
      </c>
      <c r="U5" s="73">
        <v>4</v>
      </c>
      <c r="V5" s="71">
        <v>1</v>
      </c>
      <c r="W5" s="129">
        <v>1</v>
      </c>
      <c r="X5" s="129">
        <v>1</v>
      </c>
      <c r="AA5" s="71">
        <v>4</v>
      </c>
    </row>
    <row r="6" spans="1:28">
      <c r="A6" s="122" t="s">
        <v>1175</v>
      </c>
      <c r="B6" s="122" t="s">
        <v>1290</v>
      </c>
      <c r="C6" s="122" t="s">
        <v>1058</v>
      </c>
      <c r="D6" s="122" t="s">
        <v>1167</v>
      </c>
      <c r="E6" s="122" t="s">
        <v>1169</v>
      </c>
      <c r="F6" s="122" t="s">
        <v>1290</v>
      </c>
      <c r="M6" s="122" t="s">
        <v>1291</v>
      </c>
      <c r="N6" s="122" t="s">
        <v>1258</v>
      </c>
      <c r="O6" s="126">
        <v>43718</v>
      </c>
      <c r="P6" s="126">
        <v>43718</v>
      </c>
      <c r="Q6" s="126">
        <v>43716</v>
      </c>
      <c r="R6" s="127">
        <v>43722</v>
      </c>
      <c r="S6" s="124">
        <v>37</v>
      </c>
      <c r="T6" s="124">
        <v>1</v>
      </c>
      <c r="U6" s="73">
        <v>1</v>
      </c>
      <c r="V6" s="71">
        <v>1</v>
      </c>
      <c r="W6" s="129">
        <v>1</v>
      </c>
      <c r="X6" s="129">
        <v>1</v>
      </c>
      <c r="AA6" s="71">
        <v>1</v>
      </c>
    </row>
    <row r="7" spans="1:28">
      <c r="A7" s="122" t="s">
        <v>1174</v>
      </c>
      <c r="B7" s="122" t="s">
        <v>1171</v>
      </c>
      <c r="C7" s="122" t="s">
        <v>1058</v>
      </c>
      <c r="D7" s="122" t="s">
        <v>1170</v>
      </c>
      <c r="E7" s="122" t="s">
        <v>1171</v>
      </c>
      <c r="M7" s="122" t="s">
        <v>1293</v>
      </c>
      <c r="N7" s="122" t="s">
        <v>1259</v>
      </c>
      <c r="O7" s="126">
        <v>43721</v>
      </c>
      <c r="P7" s="126">
        <v>43725</v>
      </c>
      <c r="Q7" s="126">
        <v>43716</v>
      </c>
      <c r="R7" s="127">
        <v>43722</v>
      </c>
      <c r="S7" s="124">
        <v>37</v>
      </c>
      <c r="T7" s="124">
        <v>0</v>
      </c>
      <c r="U7" s="73">
        <v>0</v>
      </c>
      <c r="V7" s="71">
        <v>1</v>
      </c>
      <c r="W7" s="129">
        <v>1</v>
      </c>
      <c r="X7" s="129">
        <v>1</v>
      </c>
      <c r="AA7" s="71">
        <v>0</v>
      </c>
    </row>
    <row r="8" spans="1:28">
      <c r="A8" s="122" t="s">
        <v>1174</v>
      </c>
      <c r="B8" s="122" t="s">
        <v>1171</v>
      </c>
      <c r="C8" s="122" t="s">
        <v>1058</v>
      </c>
      <c r="D8" s="122" t="s">
        <v>1170</v>
      </c>
      <c r="E8" s="122" t="s">
        <v>1171</v>
      </c>
      <c r="M8" s="122" t="s">
        <v>1293</v>
      </c>
      <c r="N8" s="122" t="s">
        <v>1259</v>
      </c>
      <c r="O8" s="126">
        <v>43721</v>
      </c>
      <c r="P8" s="126">
        <v>43725</v>
      </c>
      <c r="Q8" s="126">
        <v>43723</v>
      </c>
      <c r="R8" s="127">
        <v>43729</v>
      </c>
      <c r="S8" s="124">
        <v>38</v>
      </c>
      <c r="T8" s="124">
        <v>2</v>
      </c>
      <c r="U8" s="73">
        <v>2</v>
      </c>
      <c r="V8" s="71">
        <v>1</v>
      </c>
      <c r="W8" s="129">
        <v>1</v>
      </c>
      <c r="X8" s="129">
        <v>1</v>
      </c>
      <c r="AA8" s="71">
        <v>2</v>
      </c>
    </row>
    <row r="9" spans="1:28">
      <c r="A9" s="122" t="s">
        <v>1174</v>
      </c>
      <c r="B9" s="122" t="s">
        <v>1219</v>
      </c>
      <c r="C9" s="122" t="s">
        <v>1058</v>
      </c>
      <c r="D9" s="122" t="s">
        <v>1170</v>
      </c>
      <c r="E9" s="122" t="s">
        <v>1219</v>
      </c>
      <c r="M9" s="122" t="s">
        <v>1294</v>
      </c>
      <c r="N9" s="122" t="s">
        <v>1259</v>
      </c>
      <c r="O9" s="126">
        <v>43753</v>
      </c>
      <c r="P9" s="126">
        <v>43753</v>
      </c>
      <c r="Q9" s="126">
        <v>43751</v>
      </c>
      <c r="R9" s="127">
        <v>43757</v>
      </c>
      <c r="S9" s="124">
        <v>42</v>
      </c>
      <c r="T9" s="124">
        <v>1</v>
      </c>
      <c r="U9" s="73">
        <v>0</v>
      </c>
      <c r="V9" s="71">
        <v>1</v>
      </c>
      <c r="W9" s="129">
        <v>0</v>
      </c>
      <c r="X9" s="129">
        <v>0</v>
      </c>
      <c r="AA9" s="71">
        <v>0</v>
      </c>
    </row>
    <row r="10" spans="1:28">
      <c r="A10" s="122" t="s">
        <v>1174</v>
      </c>
      <c r="B10" s="122" t="s">
        <v>1295</v>
      </c>
      <c r="C10" s="122" t="s">
        <v>1058</v>
      </c>
      <c r="D10" s="122" t="s">
        <v>1170</v>
      </c>
      <c r="E10" s="122" t="s">
        <v>1295</v>
      </c>
      <c r="M10" s="122" t="s">
        <v>1296</v>
      </c>
      <c r="N10" s="122" t="s">
        <v>579</v>
      </c>
      <c r="O10" s="126">
        <v>43789</v>
      </c>
      <c r="P10" s="126">
        <v>43814</v>
      </c>
      <c r="Q10" s="126">
        <v>43786</v>
      </c>
      <c r="R10" s="127">
        <v>43792</v>
      </c>
      <c r="S10" s="124">
        <v>47</v>
      </c>
      <c r="T10" s="124">
        <v>3</v>
      </c>
      <c r="U10" s="73">
        <v>0</v>
      </c>
      <c r="V10" s="71">
        <v>1</v>
      </c>
      <c r="W10" s="129">
        <v>0</v>
      </c>
      <c r="X10" s="129">
        <v>0</v>
      </c>
      <c r="AA10" s="71">
        <v>0</v>
      </c>
    </row>
    <row r="11" spans="1:28">
      <c r="A11" s="122" t="s">
        <v>1174</v>
      </c>
      <c r="B11" s="122" t="s">
        <v>1295</v>
      </c>
      <c r="C11" s="122" t="s">
        <v>1058</v>
      </c>
      <c r="D11" s="122" t="s">
        <v>1170</v>
      </c>
      <c r="E11" s="122" t="s">
        <v>1295</v>
      </c>
      <c r="M11" s="122" t="s">
        <v>1296</v>
      </c>
      <c r="N11" s="122" t="s">
        <v>579</v>
      </c>
      <c r="O11" s="126">
        <v>43789</v>
      </c>
      <c r="P11" s="126">
        <v>43814</v>
      </c>
      <c r="Q11" s="126">
        <v>43793</v>
      </c>
      <c r="R11" s="127">
        <v>43799</v>
      </c>
      <c r="S11" s="124">
        <v>48</v>
      </c>
      <c r="T11" s="124">
        <v>5</v>
      </c>
      <c r="U11" s="73">
        <v>0</v>
      </c>
      <c r="V11" s="71">
        <v>1</v>
      </c>
      <c r="W11" s="129">
        <v>0</v>
      </c>
      <c r="X11" s="129">
        <v>0</v>
      </c>
      <c r="AA11" s="71">
        <v>0</v>
      </c>
    </row>
    <row r="12" spans="1:28">
      <c r="A12" s="122" t="s">
        <v>1174</v>
      </c>
      <c r="B12" s="122" t="s">
        <v>1295</v>
      </c>
      <c r="C12" s="122" t="s">
        <v>1058</v>
      </c>
      <c r="D12" s="122" t="s">
        <v>1170</v>
      </c>
      <c r="E12" s="122" t="s">
        <v>1295</v>
      </c>
      <c r="M12" s="122" t="s">
        <v>1296</v>
      </c>
      <c r="N12" s="122" t="s">
        <v>579</v>
      </c>
      <c r="O12" s="126">
        <v>43789</v>
      </c>
      <c r="P12" s="126">
        <v>43814</v>
      </c>
      <c r="Q12" s="126">
        <v>43800</v>
      </c>
      <c r="R12" s="127">
        <v>43806</v>
      </c>
      <c r="S12" s="124">
        <v>49</v>
      </c>
      <c r="T12" s="124">
        <v>5</v>
      </c>
      <c r="U12" s="73">
        <v>0</v>
      </c>
      <c r="V12" s="71">
        <v>1</v>
      </c>
      <c r="W12" s="129">
        <v>0</v>
      </c>
      <c r="X12" s="129">
        <v>0</v>
      </c>
      <c r="AA12" s="71">
        <v>0</v>
      </c>
    </row>
    <row r="13" spans="1:28">
      <c r="A13" s="122" t="s">
        <v>1174</v>
      </c>
      <c r="B13" s="122" t="s">
        <v>1295</v>
      </c>
      <c r="C13" s="122" t="s">
        <v>1058</v>
      </c>
      <c r="D13" s="122" t="s">
        <v>1170</v>
      </c>
      <c r="E13" s="122" t="s">
        <v>1295</v>
      </c>
      <c r="M13" s="122" t="s">
        <v>1296</v>
      </c>
      <c r="N13" s="122" t="s">
        <v>579</v>
      </c>
      <c r="O13" s="126">
        <v>43789</v>
      </c>
      <c r="P13" s="126">
        <v>43814</v>
      </c>
      <c r="Q13" s="126">
        <v>43807</v>
      </c>
      <c r="R13" s="127">
        <v>43813</v>
      </c>
      <c r="S13" s="124">
        <v>50</v>
      </c>
      <c r="T13" s="124">
        <v>5</v>
      </c>
      <c r="U13" s="73">
        <v>0</v>
      </c>
      <c r="V13" s="71">
        <v>1</v>
      </c>
      <c r="W13" s="129">
        <v>0</v>
      </c>
      <c r="X13" s="129">
        <v>0</v>
      </c>
      <c r="AA13" s="71">
        <v>0</v>
      </c>
    </row>
    <row r="14" spans="1:28">
      <c r="A14" s="122" t="s">
        <v>1174</v>
      </c>
      <c r="B14" s="122" t="s">
        <v>1295</v>
      </c>
      <c r="C14" s="122" t="s">
        <v>1058</v>
      </c>
      <c r="D14" s="122" t="s">
        <v>1170</v>
      </c>
      <c r="E14" s="122" t="s">
        <v>1295</v>
      </c>
      <c r="M14" s="122" t="s">
        <v>1296</v>
      </c>
      <c r="N14" s="122" t="s">
        <v>579</v>
      </c>
      <c r="O14" s="126">
        <v>43789</v>
      </c>
      <c r="P14" s="126">
        <v>43814</v>
      </c>
      <c r="Q14" s="126">
        <v>43814</v>
      </c>
      <c r="R14" s="127">
        <v>43820</v>
      </c>
      <c r="S14" s="124">
        <v>51</v>
      </c>
      <c r="T14" s="124">
        <v>0</v>
      </c>
      <c r="U14" s="73">
        <v>0</v>
      </c>
      <c r="V14" s="71">
        <v>1</v>
      </c>
      <c r="W14" s="129">
        <v>0</v>
      </c>
      <c r="X14" s="129">
        <v>0</v>
      </c>
      <c r="AA14" s="71">
        <v>0</v>
      </c>
    </row>
    <row r="15" spans="1:28">
      <c r="A15" s="122" t="s">
        <v>1174</v>
      </c>
      <c r="B15" s="122" t="s">
        <v>1297</v>
      </c>
      <c r="C15" s="122" t="s">
        <v>1058</v>
      </c>
      <c r="D15" s="122" t="s">
        <v>1170</v>
      </c>
      <c r="E15" s="122" t="s">
        <v>1297</v>
      </c>
      <c r="M15" s="122" t="s">
        <v>1298</v>
      </c>
      <c r="N15" s="122" t="s">
        <v>579</v>
      </c>
      <c r="O15" s="126">
        <v>43718</v>
      </c>
      <c r="P15" s="126">
        <v>43718</v>
      </c>
      <c r="Q15" s="126">
        <v>43716</v>
      </c>
      <c r="R15" s="127">
        <v>43722</v>
      </c>
      <c r="S15" s="124">
        <v>37</v>
      </c>
      <c r="T15" s="124">
        <v>1</v>
      </c>
      <c r="U15" s="73">
        <v>1</v>
      </c>
      <c r="V15" s="71">
        <v>1</v>
      </c>
      <c r="W15" s="129">
        <v>1</v>
      </c>
      <c r="X15" s="129">
        <v>1</v>
      </c>
      <c r="AA15" s="71">
        <v>0</v>
      </c>
    </row>
    <row r="16" spans="1:28">
      <c r="A16" s="122" t="s">
        <v>1174</v>
      </c>
      <c r="B16" s="122" t="s">
        <v>1297</v>
      </c>
      <c r="C16" s="122" t="s">
        <v>1058</v>
      </c>
      <c r="D16" s="122" t="s">
        <v>1170</v>
      </c>
      <c r="E16" s="122" t="s">
        <v>1297</v>
      </c>
      <c r="M16" s="122" t="s">
        <v>1298</v>
      </c>
      <c r="N16" s="122" t="s">
        <v>579</v>
      </c>
      <c r="O16" s="126">
        <v>43718</v>
      </c>
      <c r="P16" s="126">
        <v>43718</v>
      </c>
      <c r="Q16" s="126">
        <v>43723</v>
      </c>
      <c r="R16" s="127">
        <v>43729</v>
      </c>
      <c r="S16" s="124">
        <v>38</v>
      </c>
      <c r="T16" s="124">
        <v>0</v>
      </c>
      <c r="U16" s="73">
        <v>0</v>
      </c>
      <c r="V16" s="71">
        <v>1</v>
      </c>
      <c r="W16" s="129">
        <v>1</v>
      </c>
      <c r="X16" s="129">
        <v>1</v>
      </c>
      <c r="AA16" s="71">
        <v>1</v>
      </c>
    </row>
    <row r="17" spans="1:27">
      <c r="A17" s="122" t="s">
        <v>1174</v>
      </c>
      <c r="B17" s="122" t="s">
        <v>1173</v>
      </c>
      <c r="C17" s="122" t="s">
        <v>1058</v>
      </c>
      <c r="D17" s="122" t="s">
        <v>1172</v>
      </c>
      <c r="E17" s="122" t="s">
        <v>1173</v>
      </c>
      <c r="M17" s="122" t="s">
        <v>1300</v>
      </c>
      <c r="N17" s="122" t="s">
        <v>1264</v>
      </c>
      <c r="O17" s="126">
        <v>43822</v>
      </c>
      <c r="P17" s="126">
        <v>43826</v>
      </c>
      <c r="Q17" s="126">
        <v>43821</v>
      </c>
      <c r="R17" s="127">
        <v>43827</v>
      </c>
      <c r="S17" s="124">
        <v>52</v>
      </c>
      <c r="T17" s="124">
        <v>2</v>
      </c>
      <c r="U17" s="73">
        <v>0</v>
      </c>
      <c r="V17" s="71">
        <v>1</v>
      </c>
      <c r="W17" s="129">
        <v>0</v>
      </c>
      <c r="X17" s="129">
        <v>0</v>
      </c>
      <c r="AA17" s="71">
        <v>0</v>
      </c>
    </row>
    <row r="18" spans="1:27">
      <c r="A18" s="122" t="s">
        <v>1174</v>
      </c>
      <c r="B18" s="122" t="s">
        <v>1173</v>
      </c>
      <c r="C18" s="122" t="s">
        <v>1058</v>
      </c>
      <c r="D18" s="122" t="s">
        <v>1172</v>
      </c>
      <c r="E18" s="122" t="s">
        <v>1173</v>
      </c>
      <c r="M18" s="122" t="s">
        <v>1300</v>
      </c>
      <c r="N18" s="122" t="s">
        <v>1258</v>
      </c>
      <c r="O18" s="126">
        <v>43822</v>
      </c>
      <c r="P18" s="126">
        <v>43826</v>
      </c>
      <c r="Q18" s="126">
        <v>43821</v>
      </c>
      <c r="R18" s="127">
        <v>43827</v>
      </c>
      <c r="S18" s="124">
        <v>52</v>
      </c>
      <c r="T18" s="124">
        <v>2</v>
      </c>
      <c r="U18" s="73">
        <v>0</v>
      </c>
      <c r="V18" s="71">
        <v>1</v>
      </c>
      <c r="W18" s="129">
        <v>0</v>
      </c>
      <c r="X18" s="129">
        <v>0</v>
      </c>
      <c r="AA18" s="71">
        <v>0</v>
      </c>
    </row>
    <row r="19" spans="1:27">
      <c r="A19" s="122" t="s">
        <v>1174</v>
      </c>
      <c r="B19" s="122" t="s">
        <v>1220</v>
      </c>
      <c r="C19" s="122" t="s">
        <v>1058</v>
      </c>
      <c r="D19" s="122" t="s">
        <v>1172</v>
      </c>
      <c r="E19" s="122" t="s">
        <v>1220</v>
      </c>
      <c r="M19" s="122" t="s">
        <v>1301</v>
      </c>
      <c r="N19" s="122" t="s">
        <v>771</v>
      </c>
      <c r="O19" s="126">
        <v>43829</v>
      </c>
      <c r="P19" s="126">
        <v>43847</v>
      </c>
      <c r="Q19" s="126">
        <v>43828</v>
      </c>
      <c r="R19" s="127">
        <v>43834</v>
      </c>
      <c r="S19" s="124">
        <v>53</v>
      </c>
      <c r="T19" s="124">
        <v>4</v>
      </c>
      <c r="U19" s="73">
        <v>0</v>
      </c>
      <c r="V19" s="71">
        <v>1</v>
      </c>
      <c r="W19" s="129">
        <v>0</v>
      </c>
      <c r="X19" s="129">
        <v>0</v>
      </c>
      <c r="AA19" s="71">
        <v>0</v>
      </c>
    </row>
    <row r="20" spans="1:27">
      <c r="A20" s="122" t="s">
        <v>1174</v>
      </c>
      <c r="B20" s="122" t="s">
        <v>1220</v>
      </c>
      <c r="C20" s="122" t="s">
        <v>1058</v>
      </c>
      <c r="D20" s="122" t="s">
        <v>1172</v>
      </c>
      <c r="E20" s="122" t="s">
        <v>1220</v>
      </c>
      <c r="M20" s="122" t="s">
        <v>1301</v>
      </c>
      <c r="N20" s="122" t="s">
        <v>771</v>
      </c>
      <c r="O20" s="126">
        <v>43829</v>
      </c>
      <c r="P20" s="126">
        <v>43847</v>
      </c>
      <c r="Q20" s="126">
        <v>43835</v>
      </c>
      <c r="R20" s="127">
        <v>43841</v>
      </c>
      <c r="S20" s="124">
        <v>2</v>
      </c>
      <c r="T20" s="124">
        <v>5</v>
      </c>
      <c r="U20" s="73">
        <v>0</v>
      </c>
      <c r="V20" s="71">
        <v>1</v>
      </c>
      <c r="W20" s="129">
        <v>0</v>
      </c>
      <c r="X20" s="129">
        <v>0</v>
      </c>
      <c r="AA20" s="71">
        <v>0</v>
      </c>
    </row>
    <row r="21" spans="1:27">
      <c r="A21" s="122" t="s">
        <v>1174</v>
      </c>
      <c r="B21" s="122" t="s">
        <v>1220</v>
      </c>
      <c r="C21" s="122" t="s">
        <v>1058</v>
      </c>
      <c r="D21" s="122" t="s">
        <v>1172</v>
      </c>
      <c r="E21" s="122" t="s">
        <v>1220</v>
      </c>
      <c r="M21" s="122" t="s">
        <v>1301</v>
      </c>
      <c r="N21" s="122" t="s">
        <v>771</v>
      </c>
      <c r="O21" s="126">
        <v>43829</v>
      </c>
      <c r="P21" s="126">
        <v>43847</v>
      </c>
      <c r="Q21" s="126">
        <v>43842</v>
      </c>
      <c r="R21" s="127">
        <v>43848</v>
      </c>
      <c r="S21" s="124">
        <v>3</v>
      </c>
      <c r="T21" s="124">
        <v>5</v>
      </c>
      <c r="U21" s="73">
        <v>0</v>
      </c>
      <c r="V21" s="71">
        <v>1</v>
      </c>
      <c r="W21" s="129">
        <v>0</v>
      </c>
      <c r="X21" s="129">
        <v>0</v>
      </c>
      <c r="AA21" s="71">
        <v>0</v>
      </c>
    </row>
    <row r="22" spans="1:27">
      <c r="A22" s="122" t="s">
        <v>1174</v>
      </c>
      <c r="B22" s="122" t="s">
        <v>1302</v>
      </c>
      <c r="C22" s="122" t="s">
        <v>1058</v>
      </c>
      <c r="D22" s="122" t="s">
        <v>1172</v>
      </c>
      <c r="E22" s="122" t="s">
        <v>1302</v>
      </c>
      <c r="M22" s="122" t="s">
        <v>1303</v>
      </c>
      <c r="N22" s="122" t="s">
        <v>1265</v>
      </c>
      <c r="O22" s="126">
        <v>43847</v>
      </c>
      <c r="P22" s="126">
        <v>43847</v>
      </c>
      <c r="Q22" s="126">
        <v>43842</v>
      </c>
      <c r="R22" s="127">
        <v>43848</v>
      </c>
      <c r="S22" s="124">
        <v>3</v>
      </c>
      <c r="T22" s="124">
        <v>0.5</v>
      </c>
      <c r="U22" s="73">
        <v>0</v>
      </c>
      <c r="V22" s="71">
        <v>1</v>
      </c>
      <c r="W22" s="129">
        <v>0</v>
      </c>
      <c r="X22" s="129">
        <v>0</v>
      </c>
      <c r="AA22" s="71">
        <v>0</v>
      </c>
    </row>
    <row r="23" spans="1:27">
      <c r="A23" s="122" t="s">
        <v>1174</v>
      </c>
      <c r="B23" s="122" t="s">
        <v>1302</v>
      </c>
      <c r="C23" s="122" t="s">
        <v>1058</v>
      </c>
      <c r="D23" s="122" t="s">
        <v>1172</v>
      </c>
      <c r="E23" s="122" t="s">
        <v>1302</v>
      </c>
      <c r="M23" s="122" t="s">
        <v>1303</v>
      </c>
      <c r="N23" s="122" t="s">
        <v>1266</v>
      </c>
      <c r="O23" s="126">
        <v>43847</v>
      </c>
      <c r="P23" s="126">
        <v>43847</v>
      </c>
      <c r="Q23" s="126">
        <v>43842</v>
      </c>
      <c r="R23" s="127">
        <v>43848</v>
      </c>
      <c r="S23" s="124">
        <v>3</v>
      </c>
      <c r="T23" s="124">
        <v>0.5</v>
      </c>
      <c r="U23" s="73">
        <v>0</v>
      </c>
      <c r="V23" s="71">
        <v>1</v>
      </c>
      <c r="W23" s="129">
        <v>0</v>
      </c>
      <c r="X23" s="129">
        <v>0</v>
      </c>
      <c r="AA23" s="71">
        <v>0</v>
      </c>
    </row>
    <row r="24" spans="1:27">
      <c r="A24" s="122" t="s">
        <v>1174</v>
      </c>
      <c r="B24" s="122" t="s">
        <v>1304</v>
      </c>
      <c r="C24" s="122" t="s">
        <v>1058</v>
      </c>
      <c r="D24" s="122" t="s">
        <v>1172</v>
      </c>
      <c r="E24" s="122" t="s">
        <v>1304</v>
      </c>
      <c r="M24" s="122" t="s">
        <v>1305</v>
      </c>
      <c r="N24" s="122" t="s">
        <v>579</v>
      </c>
      <c r="O24" s="126">
        <v>43847</v>
      </c>
      <c r="P24" s="126">
        <v>43847</v>
      </c>
      <c r="Q24" s="126">
        <v>43842</v>
      </c>
      <c r="R24" s="127">
        <v>43848</v>
      </c>
      <c r="S24" s="124">
        <v>3</v>
      </c>
      <c r="T24" s="124">
        <v>1</v>
      </c>
      <c r="U24" s="73">
        <v>0</v>
      </c>
      <c r="V24" s="71">
        <v>1</v>
      </c>
      <c r="W24" s="129">
        <v>0</v>
      </c>
      <c r="X24" s="129">
        <v>0</v>
      </c>
      <c r="AA24" s="71">
        <v>0</v>
      </c>
    </row>
    <row r="25" spans="1:27">
      <c r="A25" s="122" t="s">
        <v>1174</v>
      </c>
      <c r="B25" s="122" t="s">
        <v>1307</v>
      </c>
      <c r="C25" s="122" t="s">
        <v>1157</v>
      </c>
      <c r="D25" s="122" t="s">
        <v>1363</v>
      </c>
      <c r="E25" s="122" t="s">
        <v>1307</v>
      </c>
      <c r="M25" s="122" t="s">
        <v>1308</v>
      </c>
      <c r="N25" s="122" t="s">
        <v>579</v>
      </c>
      <c r="O25" s="126">
        <v>43700</v>
      </c>
      <c r="P25" s="126">
        <v>43718</v>
      </c>
      <c r="Q25" s="126">
        <v>43696</v>
      </c>
      <c r="R25" s="127">
        <v>43701</v>
      </c>
      <c r="S25" s="124">
        <v>34</v>
      </c>
      <c r="T25" s="124">
        <v>1</v>
      </c>
      <c r="U25" s="73">
        <v>1</v>
      </c>
      <c r="V25" s="71">
        <v>1</v>
      </c>
      <c r="W25" s="129">
        <v>1</v>
      </c>
      <c r="X25" s="129">
        <v>1</v>
      </c>
      <c r="AA25" s="71">
        <v>1</v>
      </c>
    </row>
    <row r="26" spans="1:27">
      <c r="A26" s="122" t="s">
        <v>1174</v>
      </c>
      <c r="B26" s="122" t="s">
        <v>1307</v>
      </c>
      <c r="C26" s="122" t="s">
        <v>1157</v>
      </c>
      <c r="D26" s="122" t="s">
        <v>1363</v>
      </c>
      <c r="E26" s="122" t="s">
        <v>1307</v>
      </c>
      <c r="M26" s="122" t="s">
        <v>1308</v>
      </c>
      <c r="N26" s="122" t="s">
        <v>579</v>
      </c>
      <c r="O26" s="126">
        <v>43700</v>
      </c>
      <c r="P26" s="126">
        <v>43718</v>
      </c>
      <c r="Q26" s="126">
        <v>43702</v>
      </c>
      <c r="R26" s="127">
        <v>43708</v>
      </c>
      <c r="S26" s="124">
        <v>35</v>
      </c>
      <c r="T26" s="124">
        <v>5</v>
      </c>
      <c r="U26" s="73">
        <v>5</v>
      </c>
      <c r="V26" s="71">
        <v>1</v>
      </c>
      <c r="W26" s="129">
        <v>1</v>
      </c>
      <c r="X26" s="129">
        <v>1</v>
      </c>
      <c r="AA26" s="71">
        <v>5</v>
      </c>
    </row>
    <row r="27" spans="1:27">
      <c r="A27" s="122" t="s">
        <v>1174</v>
      </c>
      <c r="B27" s="122" t="s">
        <v>1307</v>
      </c>
      <c r="C27" s="122" t="s">
        <v>1157</v>
      </c>
      <c r="D27" s="122" t="s">
        <v>1363</v>
      </c>
      <c r="E27" s="122" t="s">
        <v>1307</v>
      </c>
      <c r="M27" s="122" t="s">
        <v>1308</v>
      </c>
      <c r="N27" s="122" t="s">
        <v>579</v>
      </c>
      <c r="O27" s="126">
        <v>43700</v>
      </c>
      <c r="P27" s="126">
        <v>43718</v>
      </c>
      <c r="Q27" s="126">
        <v>43709</v>
      </c>
      <c r="R27" s="127">
        <v>43715</v>
      </c>
      <c r="S27" s="124">
        <v>36</v>
      </c>
      <c r="T27" s="124">
        <v>5</v>
      </c>
      <c r="U27" s="73">
        <v>5</v>
      </c>
      <c r="V27" s="71">
        <v>1</v>
      </c>
      <c r="W27" s="129">
        <v>1</v>
      </c>
      <c r="X27" s="129">
        <v>1</v>
      </c>
      <c r="AA27" s="71">
        <v>5</v>
      </c>
    </row>
    <row r="28" spans="1:27">
      <c r="A28" s="122" t="s">
        <v>1174</v>
      </c>
      <c r="B28" s="122" t="s">
        <v>1307</v>
      </c>
      <c r="C28" s="122" t="s">
        <v>1157</v>
      </c>
      <c r="D28" s="122" t="s">
        <v>1363</v>
      </c>
      <c r="E28" s="122" t="s">
        <v>1307</v>
      </c>
      <c r="M28" s="122" t="s">
        <v>1308</v>
      </c>
      <c r="N28" s="122" t="s">
        <v>579</v>
      </c>
      <c r="O28" s="126">
        <v>43700</v>
      </c>
      <c r="P28" s="126">
        <v>43718</v>
      </c>
      <c r="Q28" s="126">
        <v>43716</v>
      </c>
      <c r="R28" s="127">
        <v>43722</v>
      </c>
      <c r="S28" s="124">
        <v>37</v>
      </c>
      <c r="T28" s="124">
        <v>2</v>
      </c>
      <c r="U28" s="73">
        <v>2</v>
      </c>
      <c r="V28" s="71">
        <v>1</v>
      </c>
      <c r="W28" s="129">
        <v>1</v>
      </c>
      <c r="X28" s="129">
        <v>1</v>
      </c>
      <c r="AA28" s="71">
        <v>2</v>
      </c>
    </row>
    <row r="29" spans="1:27">
      <c r="A29" s="122" t="s">
        <v>1175</v>
      </c>
      <c r="B29" s="122" t="s">
        <v>1311</v>
      </c>
      <c r="C29" s="122" t="s">
        <v>1157</v>
      </c>
      <c r="D29" s="122" t="s">
        <v>1363</v>
      </c>
      <c r="E29" s="122" t="s">
        <v>1309</v>
      </c>
      <c r="F29" s="122" t="s">
        <v>1311</v>
      </c>
      <c r="M29" s="122" t="s">
        <v>1312</v>
      </c>
      <c r="N29" s="122" t="s">
        <v>579</v>
      </c>
      <c r="O29" s="126">
        <v>43706</v>
      </c>
      <c r="P29" s="126">
        <v>43717</v>
      </c>
      <c r="Q29" s="126">
        <v>43702</v>
      </c>
      <c r="R29" s="127">
        <v>43708</v>
      </c>
      <c r="S29" s="124">
        <v>35</v>
      </c>
      <c r="T29" s="124">
        <v>2</v>
      </c>
      <c r="U29" s="73">
        <v>2</v>
      </c>
      <c r="V29" s="71">
        <v>1</v>
      </c>
      <c r="W29" s="129">
        <v>1</v>
      </c>
      <c r="X29" s="129">
        <v>1</v>
      </c>
      <c r="AA29" s="71">
        <v>0</v>
      </c>
    </row>
    <row r="30" spans="1:27">
      <c r="A30" s="122" t="s">
        <v>1175</v>
      </c>
      <c r="B30" s="122" t="s">
        <v>1311</v>
      </c>
      <c r="C30" s="122" t="s">
        <v>1157</v>
      </c>
      <c r="D30" s="122" t="s">
        <v>1363</v>
      </c>
      <c r="E30" s="122" t="s">
        <v>1309</v>
      </c>
      <c r="F30" s="122" t="s">
        <v>1311</v>
      </c>
      <c r="M30" s="122" t="s">
        <v>1312</v>
      </c>
      <c r="N30" s="122" t="s">
        <v>579</v>
      </c>
      <c r="O30" s="126">
        <v>43706</v>
      </c>
      <c r="P30" s="126">
        <v>43717</v>
      </c>
      <c r="Q30" s="126">
        <v>43709</v>
      </c>
      <c r="R30" s="127">
        <v>43715</v>
      </c>
      <c r="S30" s="124">
        <v>36</v>
      </c>
      <c r="T30" s="124">
        <v>5</v>
      </c>
      <c r="U30" s="73">
        <v>5</v>
      </c>
      <c r="V30" s="71">
        <v>1</v>
      </c>
      <c r="W30" s="129">
        <v>1</v>
      </c>
      <c r="X30" s="129">
        <v>1</v>
      </c>
      <c r="AA30" s="71">
        <v>5</v>
      </c>
    </row>
    <row r="31" spans="1:27">
      <c r="A31" s="122" t="s">
        <v>1175</v>
      </c>
      <c r="B31" s="122" t="s">
        <v>1311</v>
      </c>
      <c r="C31" s="122" t="s">
        <v>1157</v>
      </c>
      <c r="D31" s="122" t="s">
        <v>1363</v>
      </c>
      <c r="E31" s="122" t="s">
        <v>1309</v>
      </c>
      <c r="F31" s="122" t="s">
        <v>1311</v>
      </c>
      <c r="M31" s="122" t="s">
        <v>1312</v>
      </c>
      <c r="N31" s="122" t="s">
        <v>579</v>
      </c>
      <c r="O31" s="126">
        <v>43706</v>
      </c>
      <c r="P31" s="126">
        <v>43717</v>
      </c>
      <c r="Q31" s="126">
        <v>43716</v>
      </c>
      <c r="R31" s="127">
        <v>43722</v>
      </c>
      <c r="S31" s="124">
        <v>37</v>
      </c>
      <c r="T31" s="124">
        <v>1</v>
      </c>
      <c r="U31" s="73">
        <v>1</v>
      </c>
      <c r="V31" s="71">
        <v>1</v>
      </c>
      <c r="W31" s="129">
        <v>1</v>
      </c>
      <c r="X31" s="129">
        <v>1</v>
      </c>
      <c r="AA31" s="71">
        <v>3</v>
      </c>
    </row>
    <row r="32" spans="1:27">
      <c r="A32" s="122" t="s">
        <v>1175</v>
      </c>
      <c r="B32" s="122" t="s">
        <v>1311</v>
      </c>
      <c r="C32" s="122" t="s">
        <v>1157</v>
      </c>
      <c r="D32" s="122" t="s">
        <v>1363</v>
      </c>
      <c r="E32" s="122" t="s">
        <v>1309</v>
      </c>
      <c r="F32" s="122" t="s">
        <v>1311</v>
      </c>
      <c r="M32" s="122" t="s">
        <v>1312</v>
      </c>
      <c r="N32" s="122" t="s">
        <v>579</v>
      </c>
      <c r="O32" s="126">
        <v>43706</v>
      </c>
      <c r="P32" s="126">
        <v>43717</v>
      </c>
      <c r="Q32" s="126">
        <v>43723</v>
      </c>
      <c r="R32" s="127">
        <v>43729</v>
      </c>
      <c r="S32" s="124">
        <v>38</v>
      </c>
      <c r="T32" s="124">
        <v>0</v>
      </c>
      <c r="U32" s="73">
        <v>0</v>
      </c>
      <c r="V32" s="71">
        <v>1</v>
      </c>
      <c r="W32" s="129">
        <v>1</v>
      </c>
      <c r="X32" s="129">
        <v>1</v>
      </c>
      <c r="AA32" s="71">
        <v>0</v>
      </c>
    </row>
    <row r="33" spans="1:27">
      <c r="A33" s="122" t="s">
        <v>1175</v>
      </c>
      <c r="B33" s="122" t="s">
        <v>1311</v>
      </c>
      <c r="C33" s="122" t="s">
        <v>1157</v>
      </c>
      <c r="D33" s="122" t="s">
        <v>1363</v>
      </c>
      <c r="E33" s="122" t="s">
        <v>1309</v>
      </c>
      <c r="F33" s="122" t="s">
        <v>1311</v>
      </c>
      <c r="M33" s="122" t="s">
        <v>1312</v>
      </c>
      <c r="N33" s="122" t="s">
        <v>579</v>
      </c>
      <c r="O33" s="126">
        <v>43706</v>
      </c>
      <c r="P33" s="126">
        <v>43717</v>
      </c>
      <c r="Q33" s="126">
        <v>43730</v>
      </c>
      <c r="R33" s="127">
        <v>43736</v>
      </c>
      <c r="S33" s="124">
        <v>39</v>
      </c>
      <c r="T33" s="124">
        <v>0</v>
      </c>
      <c r="U33" s="73">
        <v>0</v>
      </c>
      <c r="V33" s="71">
        <v>1</v>
      </c>
      <c r="W33" s="129">
        <v>1</v>
      </c>
      <c r="X33" s="129">
        <v>1</v>
      </c>
      <c r="AA33" s="71">
        <v>0</v>
      </c>
    </row>
    <row r="34" spans="1:27">
      <c r="A34" s="122" t="s">
        <v>1175</v>
      </c>
      <c r="B34" s="122" t="s">
        <v>1313</v>
      </c>
      <c r="C34" s="122" t="s">
        <v>1157</v>
      </c>
      <c r="D34" s="122" t="s">
        <v>1363</v>
      </c>
      <c r="E34" s="122" t="s">
        <v>1309</v>
      </c>
      <c r="F34" s="122" t="s">
        <v>1313</v>
      </c>
      <c r="M34" s="122" t="s">
        <v>1314</v>
      </c>
      <c r="N34" s="122" t="s">
        <v>579</v>
      </c>
      <c r="O34" s="126">
        <v>43706</v>
      </c>
      <c r="P34" s="126">
        <v>43717</v>
      </c>
      <c r="Q34" s="126">
        <v>43702</v>
      </c>
      <c r="R34" s="127">
        <v>43708</v>
      </c>
      <c r="S34" s="124">
        <v>35</v>
      </c>
      <c r="T34" s="124">
        <v>2</v>
      </c>
      <c r="U34" s="73">
        <v>2</v>
      </c>
      <c r="V34" s="71">
        <v>1</v>
      </c>
      <c r="W34" s="129">
        <v>1</v>
      </c>
      <c r="X34" s="129">
        <v>0.45</v>
      </c>
      <c r="AA34" s="71">
        <v>2</v>
      </c>
    </row>
    <row r="35" spans="1:27">
      <c r="A35" s="122" t="s">
        <v>1175</v>
      </c>
      <c r="B35" s="122" t="s">
        <v>1313</v>
      </c>
      <c r="C35" s="122" t="s">
        <v>1157</v>
      </c>
      <c r="D35" s="122" t="s">
        <v>1363</v>
      </c>
      <c r="E35" s="122" t="s">
        <v>1309</v>
      </c>
      <c r="F35" s="122" t="s">
        <v>1313</v>
      </c>
      <c r="M35" s="122" t="s">
        <v>1314</v>
      </c>
      <c r="N35" s="122" t="s">
        <v>579</v>
      </c>
      <c r="O35" s="126">
        <v>43706</v>
      </c>
      <c r="P35" s="126">
        <v>43717</v>
      </c>
      <c r="Q35" s="126">
        <v>43709</v>
      </c>
      <c r="R35" s="127">
        <v>43715</v>
      </c>
      <c r="S35" s="124">
        <v>36</v>
      </c>
      <c r="T35" s="124">
        <v>5</v>
      </c>
      <c r="U35" s="73">
        <v>5</v>
      </c>
      <c r="V35" s="71">
        <v>1</v>
      </c>
      <c r="W35" s="129">
        <v>1</v>
      </c>
      <c r="X35" s="129">
        <v>0.45</v>
      </c>
      <c r="AA35" s="71">
        <v>1.6</v>
      </c>
    </row>
    <row r="36" spans="1:27">
      <c r="A36" s="122" t="s">
        <v>1175</v>
      </c>
      <c r="B36" s="122" t="s">
        <v>1313</v>
      </c>
      <c r="C36" s="122" t="s">
        <v>1157</v>
      </c>
      <c r="D36" s="122" t="s">
        <v>1363</v>
      </c>
      <c r="E36" s="122" t="s">
        <v>1309</v>
      </c>
      <c r="F36" s="122" t="s">
        <v>1313</v>
      </c>
      <c r="M36" s="122" t="s">
        <v>1314</v>
      </c>
      <c r="N36" s="122" t="s">
        <v>579</v>
      </c>
      <c r="O36" s="126">
        <v>43706</v>
      </c>
      <c r="P36" s="126">
        <v>43717</v>
      </c>
      <c r="Q36" s="126">
        <v>43716</v>
      </c>
      <c r="R36" s="127">
        <v>43722</v>
      </c>
      <c r="S36" s="124">
        <v>37</v>
      </c>
      <c r="T36" s="124">
        <v>1</v>
      </c>
      <c r="U36" s="73">
        <v>1</v>
      </c>
      <c r="V36" s="71">
        <v>1</v>
      </c>
      <c r="W36" s="129">
        <v>1</v>
      </c>
      <c r="X36" s="129">
        <v>0.45</v>
      </c>
      <c r="AA36" s="71">
        <v>0</v>
      </c>
    </row>
    <row r="37" spans="1:27">
      <c r="A37" s="122" t="s">
        <v>1174</v>
      </c>
      <c r="B37" s="122" t="s">
        <v>1315</v>
      </c>
      <c r="C37" s="122" t="s">
        <v>1157</v>
      </c>
      <c r="D37" s="122" t="s">
        <v>1364</v>
      </c>
      <c r="E37" s="122" t="s">
        <v>1315</v>
      </c>
      <c r="M37" s="122" t="s">
        <v>1316</v>
      </c>
      <c r="N37" s="122" t="s">
        <v>579</v>
      </c>
      <c r="O37" s="126">
        <v>43720</v>
      </c>
      <c r="P37" s="126">
        <v>43738</v>
      </c>
      <c r="Q37" s="126">
        <v>43716</v>
      </c>
      <c r="R37" s="127">
        <v>43722</v>
      </c>
      <c r="S37" s="124">
        <v>37</v>
      </c>
      <c r="T37" s="124">
        <v>0</v>
      </c>
      <c r="U37" s="73">
        <v>0</v>
      </c>
      <c r="V37" s="71">
        <v>1</v>
      </c>
      <c r="W37" s="129">
        <v>0.81818181818181823</v>
      </c>
      <c r="X37" s="129">
        <v>0</v>
      </c>
      <c r="AA37" s="71">
        <v>0</v>
      </c>
    </row>
    <row r="38" spans="1:27">
      <c r="A38" s="122" t="s">
        <v>1174</v>
      </c>
      <c r="B38" s="122" t="s">
        <v>1315</v>
      </c>
      <c r="C38" s="122" t="s">
        <v>1157</v>
      </c>
      <c r="D38" s="122" t="s">
        <v>1364</v>
      </c>
      <c r="E38" s="122" t="s">
        <v>1315</v>
      </c>
      <c r="M38" s="122" t="s">
        <v>1316</v>
      </c>
      <c r="N38" s="122" t="s">
        <v>579</v>
      </c>
      <c r="O38" s="126">
        <v>43720</v>
      </c>
      <c r="P38" s="126">
        <v>43738</v>
      </c>
      <c r="Q38" s="126">
        <v>43723</v>
      </c>
      <c r="R38" s="127">
        <v>43729</v>
      </c>
      <c r="S38" s="124">
        <v>38</v>
      </c>
      <c r="T38" s="124">
        <v>5</v>
      </c>
      <c r="U38" s="73">
        <v>5</v>
      </c>
      <c r="V38" s="71">
        <v>1</v>
      </c>
      <c r="W38" s="129">
        <v>0.81818181818181823</v>
      </c>
      <c r="X38" s="129">
        <v>0</v>
      </c>
      <c r="AA38" s="71">
        <v>0</v>
      </c>
    </row>
    <row r="39" spans="1:27">
      <c r="A39" s="122" t="s">
        <v>1174</v>
      </c>
      <c r="B39" s="122" t="s">
        <v>1315</v>
      </c>
      <c r="C39" s="122" t="s">
        <v>1157</v>
      </c>
      <c r="D39" s="122" t="s">
        <v>1364</v>
      </c>
      <c r="E39" s="122" t="s">
        <v>1315</v>
      </c>
      <c r="M39" s="122" t="s">
        <v>1316</v>
      </c>
      <c r="N39" s="122" t="s">
        <v>579</v>
      </c>
      <c r="O39" s="126">
        <v>43720</v>
      </c>
      <c r="P39" s="126">
        <v>43738</v>
      </c>
      <c r="Q39" s="126">
        <v>43730</v>
      </c>
      <c r="R39" s="127">
        <v>43736</v>
      </c>
      <c r="S39" s="124">
        <v>39</v>
      </c>
      <c r="T39" s="124">
        <v>5</v>
      </c>
      <c r="U39" s="73">
        <v>4</v>
      </c>
      <c r="V39" s="71">
        <v>1</v>
      </c>
      <c r="W39" s="129">
        <v>0.81818181818181823</v>
      </c>
      <c r="X39" s="129">
        <v>0</v>
      </c>
      <c r="AA39" s="71">
        <v>0</v>
      </c>
    </row>
    <row r="40" spans="1:27">
      <c r="A40" s="122" t="s">
        <v>1174</v>
      </c>
      <c r="B40" s="122" t="s">
        <v>1315</v>
      </c>
      <c r="C40" s="122" t="s">
        <v>1157</v>
      </c>
      <c r="D40" s="122" t="s">
        <v>1364</v>
      </c>
      <c r="E40" s="122" t="s">
        <v>1315</v>
      </c>
      <c r="M40" s="122" t="s">
        <v>1316</v>
      </c>
      <c r="N40" s="122" t="s">
        <v>579</v>
      </c>
      <c r="O40" s="126">
        <v>43720</v>
      </c>
      <c r="P40" s="126">
        <v>43738</v>
      </c>
      <c r="Q40" s="126">
        <v>43737</v>
      </c>
      <c r="R40" s="127">
        <v>43743</v>
      </c>
      <c r="S40" s="124">
        <v>40</v>
      </c>
      <c r="T40" s="124">
        <v>1</v>
      </c>
      <c r="U40" s="73">
        <v>0</v>
      </c>
      <c r="V40" s="71">
        <v>1</v>
      </c>
      <c r="W40" s="129">
        <v>0.81818181818181823</v>
      </c>
      <c r="X40" s="129">
        <v>0</v>
      </c>
      <c r="AA40" s="71">
        <v>0</v>
      </c>
    </row>
    <row r="41" spans="1:27">
      <c r="A41" s="122" t="s">
        <v>1175</v>
      </c>
      <c r="B41" s="122" t="s">
        <v>1319</v>
      </c>
      <c r="C41" s="122" t="s">
        <v>1157</v>
      </c>
      <c r="D41" s="122" t="s">
        <v>1364</v>
      </c>
      <c r="E41" s="122" t="s">
        <v>1317</v>
      </c>
      <c r="F41" s="122" t="s">
        <v>1319</v>
      </c>
      <c r="M41" s="122" t="s">
        <v>1320</v>
      </c>
      <c r="N41" s="122" t="s">
        <v>579</v>
      </c>
      <c r="O41" s="126">
        <v>43727</v>
      </c>
      <c r="P41" s="126">
        <v>43738</v>
      </c>
      <c r="Q41" s="126">
        <v>43723</v>
      </c>
      <c r="R41" s="127">
        <v>43729</v>
      </c>
      <c r="S41" s="124">
        <v>38</v>
      </c>
      <c r="T41" s="124">
        <v>2</v>
      </c>
      <c r="U41" s="73">
        <v>2</v>
      </c>
      <c r="V41" s="71">
        <v>1</v>
      </c>
      <c r="W41" s="129">
        <v>0.75</v>
      </c>
      <c r="X41" s="129">
        <v>0</v>
      </c>
      <c r="AA41" s="71">
        <v>0</v>
      </c>
    </row>
    <row r="42" spans="1:27">
      <c r="A42" s="122" t="s">
        <v>1175</v>
      </c>
      <c r="B42" s="122" t="s">
        <v>1319</v>
      </c>
      <c r="C42" s="122" t="s">
        <v>1157</v>
      </c>
      <c r="D42" s="122" t="s">
        <v>1364</v>
      </c>
      <c r="E42" s="122" t="s">
        <v>1317</v>
      </c>
      <c r="F42" s="122" t="s">
        <v>1319</v>
      </c>
      <c r="M42" s="122" t="s">
        <v>1320</v>
      </c>
      <c r="N42" s="122" t="s">
        <v>579</v>
      </c>
      <c r="O42" s="126">
        <v>43727</v>
      </c>
      <c r="P42" s="126">
        <v>43738</v>
      </c>
      <c r="Q42" s="126">
        <v>43730</v>
      </c>
      <c r="R42" s="127">
        <v>43736</v>
      </c>
      <c r="S42" s="124">
        <v>39</v>
      </c>
      <c r="T42" s="124">
        <v>5</v>
      </c>
      <c r="U42" s="73">
        <v>4</v>
      </c>
      <c r="V42" s="71">
        <v>1</v>
      </c>
      <c r="W42" s="129">
        <v>0.75</v>
      </c>
      <c r="X42" s="129">
        <v>0</v>
      </c>
      <c r="AA42" s="71">
        <v>0</v>
      </c>
    </row>
    <row r="43" spans="1:27">
      <c r="A43" s="122" t="s">
        <v>1175</v>
      </c>
      <c r="B43" s="122" t="s">
        <v>1319</v>
      </c>
      <c r="C43" s="122" t="s">
        <v>1157</v>
      </c>
      <c r="D43" s="122" t="s">
        <v>1364</v>
      </c>
      <c r="E43" s="122" t="s">
        <v>1317</v>
      </c>
      <c r="F43" s="122" t="s">
        <v>1319</v>
      </c>
      <c r="M43" s="122" t="s">
        <v>1320</v>
      </c>
      <c r="N43" s="122" t="s">
        <v>579</v>
      </c>
      <c r="O43" s="126">
        <v>43727</v>
      </c>
      <c r="P43" s="126">
        <v>43738</v>
      </c>
      <c r="Q43" s="126">
        <v>43737</v>
      </c>
      <c r="R43" s="127">
        <v>43743</v>
      </c>
      <c r="S43" s="124">
        <v>40</v>
      </c>
      <c r="T43" s="124">
        <v>1</v>
      </c>
      <c r="U43" s="73">
        <v>0</v>
      </c>
      <c r="V43" s="71">
        <v>1</v>
      </c>
      <c r="W43" s="129">
        <v>0.75</v>
      </c>
      <c r="X43" s="129">
        <v>0</v>
      </c>
      <c r="AA43" s="71">
        <v>0</v>
      </c>
    </row>
    <row r="44" spans="1:27">
      <c r="A44" s="122" t="s">
        <v>1175</v>
      </c>
      <c r="B44" s="122" t="s">
        <v>1321</v>
      </c>
      <c r="C44" s="122" t="s">
        <v>1157</v>
      </c>
      <c r="D44" s="122" t="s">
        <v>1364</v>
      </c>
      <c r="E44" s="122" t="s">
        <v>1317</v>
      </c>
      <c r="F44" s="122" t="s">
        <v>1321</v>
      </c>
      <c r="M44" s="122" t="s">
        <v>1322</v>
      </c>
      <c r="N44" s="122" t="s">
        <v>579</v>
      </c>
      <c r="O44" s="126">
        <v>43734</v>
      </c>
      <c r="P44" s="126">
        <v>43745</v>
      </c>
      <c r="Q44" s="126">
        <v>43730</v>
      </c>
      <c r="R44" s="127">
        <v>43736</v>
      </c>
      <c r="S44" s="124">
        <v>39</v>
      </c>
      <c r="T44" s="124">
        <v>2</v>
      </c>
      <c r="U44" s="73">
        <v>1</v>
      </c>
      <c r="V44" s="71">
        <v>1</v>
      </c>
      <c r="W44" s="129">
        <v>0.14285714285714285</v>
      </c>
      <c r="X44" s="129">
        <v>0</v>
      </c>
      <c r="AA44" s="71">
        <v>0</v>
      </c>
    </row>
    <row r="45" spans="1:27">
      <c r="A45" s="122" t="s">
        <v>1175</v>
      </c>
      <c r="B45" s="122" t="s">
        <v>1321</v>
      </c>
      <c r="C45" s="122" t="s">
        <v>1157</v>
      </c>
      <c r="D45" s="122" t="s">
        <v>1364</v>
      </c>
      <c r="E45" s="122" t="s">
        <v>1317</v>
      </c>
      <c r="F45" s="122" t="s">
        <v>1321</v>
      </c>
      <c r="M45" s="122" t="s">
        <v>1322</v>
      </c>
      <c r="N45" s="122" t="s">
        <v>579</v>
      </c>
      <c r="O45" s="126">
        <v>43734</v>
      </c>
      <c r="P45" s="126">
        <v>43745</v>
      </c>
      <c r="Q45" s="126">
        <v>43737</v>
      </c>
      <c r="R45" s="127">
        <v>43743</v>
      </c>
      <c r="S45" s="124">
        <v>40</v>
      </c>
      <c r="T45" s="124">
        <v>4</v>
      </c>
      <c r="U45" s="73">
        <v>0</v>
      </c>
      <c r="V45" s="71">
        <v>1</v>
      </c>
      <c r="W45" s="129">
        <v>0.14285714285714285</v>
      </c>
      <c r="X45" s="129">
        <v>0</v>
      </c>
      <c r="AA45" s="71">
        <v>0</v>
      </c>
    </row>
    <row r="46" spans="1:27">
      <c r="A46" s="122" t="s">
        <v>1175</v>
      </c>
      <c r="B46" s="122" t="s">
        <v>1321</v>
      </c>
      <c r="C46" s="122" t="s">
        <v>1157</v>
      </c>
      <c r="D46" s="122" t="s">
        <v>1364</v>
      </c>
      <c r="E46" s="122" t="s">
        <v>1317</v>
      </c>
      <c r="F46" s="122" t="s">
        <v>1321</v>
      </c>
      <c r="M46" s="122" t="s">
        <v>1322</v>
      </c>
      <c r="N46" s="122" t="s">
        <v>579</v>
      </c>
      <c r="O46" s="126">
        <v>43734</v>
      </c>
      <c r="P46" s="126">
        <v>43745</v>
      </c>
      <c r="Q46" s="126">
        <v>43744</v>
      </c>
      <c r="R46" s="127">
        <v>43750</v>
      </c>
      <c r="S46" s="124">
        <v>41</v>
      </c>
      <c r="T46" s="124">
        <v>1</v>
      </c>
      <c r="U46" s="73">
        <v>0</v>
      </c>
      <c r="V46" s="71">
        <v>1</v>
      </c>
      <c r="W46" s="129">
        <v>0.14285714285714285</v>
      </c>
      <c r="X46" s="129">
        <v>0</v>
      </c>
      <c r="AA46" s="71">
        <v>0</v>
      </c>
    </row>
    <row r="47" spans="1:27">
      <c r="A47" s="122" t="s">
        <v>1175</v>
      </c>
      <c r="B47" s="122" t="s">
        <v>1323</v>
      </c>
      <c r="C47" s="122" t="s">
        <v>1157</v>
      </c>
      <c r="D47" s="122" t="s">
        <v>1364</v>
      </c>
      <c r="E47" s="122" t="s">
        <v>1317</v>
      </c>
      <c r="F47" s="122" t="s">
        <v>1323</v>
      </c>
      <c r="M47" s="122" t="s">
        <v>1324</v>
      </c>
      <c r="N47" s="122" t="s">
        <v>579</v>
      </c>
      <c r="O47" s="126">
        <v>43734</v>
      </c>
      <c r="P47" s="126">
        <v>43752</v>
      </c>
      <c r="Q47" s="126">
        <v>43730</v>
      </c>
      <c r="R47" s="127">
        <v>43736</v>
      </c>
      <c r="S47" s="124">
        <v>39</v>
      </c>
      <c r="T47" s="124">
        <v>2</v>
      </c>
      <c r="U47" s="73">
        <v>1</v>
      </c>
      <c r="V47" s="71">
        <v>1</v>
      </c>
      <c r="W47" s="129">
        <v>9.0909090909090912E-2</v>
      </c>
      <c r="X47" s="129">
        <v>0</v>
      </c>
      <c r="AA47" s="71">
        <v>0</v>
      </c>
    </row>
    <row r="48" spans="1:27">
      <c r="A48" s="122" t="s">
        <v>1175</v>
      </c>
      <c r="B48" s="122" t="s">
        <v>1323</v>
      </c>
      <c r="C48" s="122" t="s">
        <v>1157</v>
      </c>
      <c r="D48" s="122" t="s">
        <v>1364</v>
      </c>
      <c r="E48" s="122" t="s">
        <v>1317</v>
      </c>
      <c r="F48" s="122" t="s">
        <v>1323</v>
      </c>
      <c r="M48" s="122" t="s">
        <v>1324</v>
      </c>
      <c r="N48" s="122" t="s">
        <v>579</v>
      </c>
      <c r="O48" s="126">
        <v>43734</v>
      </c>
      <c r="P48" s="126">
        <v>43752</v>
      </c>
      <c r="Q48" s="126">
        <v>43737</v>
      </c>
      <c r="R48" s="127">
        <v>43743</v>
      </c>
      <c r="S48" s="124">
        <v>40</v>
      </c>
      <c r="T48" s="124">
        <v>4</v>
      </c>
      <c r="U48" s="73">
        <v>0</v>
      </c>
      <c r="V48" s="71">
        <v>1</v>
      </c>
      <c r="W48" s="129">
        <v>9.0909090909090912E-2</v>
      </c>
      <c r="X48" s="129">
        <v>0</v>
      </c>
      <c r="AA48" s="71">
        <v>0</v>
      </c>
    </row>
    <row r="49" spans="1:27">
      <c r="A49" s="122" t="s">
        <v>1175</v>
      </c>
      <c r="B49" s="122" t="s">
        <v>1323</v>
      </c>
      <c r="C49" s="122" t="s">
        <v>1157</v>
      </c>
      <c r="D49" s="122" t="s">
        <v>1364</v>
      </c>
      <c r="E49" s="122" t="s">
        <v>1317</v>
      </c>
      <c r="F49" s="122" t="s">
        <v>1323</v>
      </c>
      <c r="M49" s="122" t="s">
        <v>1324</v>
      </c>
      <c r="N49" s="122" t="s">
        <v>579</v>
      </c>
      <c r="O49" s="126">
        <v>43734</v>
      </c>
      <c r="P49" s="126">
        <v>43752</v>
      </c>
      <c r="Q49" s="126">
        <v>43744</v>
      </c>
      <c r="R49" s="127">
        <v>43750</v>
      </c>
      <c r="S49" s="124">
        <v>41</v>
      </c>
      <c r="T49" s="124">
        <v>4</v>
      </c>
      <c r="U49" s="73">
        <v>0</v>
      </c>
      <c r="V49" s="71">
        <v>1</v>
      </c>
      <c r="W49" s="129">
        <v>9.0909090909090912E-2</v>
      </c>
      <c r="X49" s="129">
        <v>0</v>
      </c>
      <c r="AA49" s="71">
        <v>0</v>
      </c>
    </row>
    <row r="50" spans="1:27">
      <c r="A50" s="122" t="s">
        <v>1175</v>
      </c>
      <c r="B50" s="122" t="s">
        <v>1323</v>
      </c>
      <c r="C50" s="122" t="s">
        <v>1157</v>
      </c>
      <c r="D50" s="122" t="s">
        <v>1364</v>
      </c>
      <c r="E50" s="122" t="s">
        <v>1317</v>
      </c>
      <c r="F50" s="122" t="s">
        <v>1323</v>
      </c>
      <c r="M50" s="122" t="s">
        <v>1324</v>
      </c>
      <c r="N50" s="122" t="s">
        <v>579</v>
      </c>
      <c r="O50" s="126">
        <v>43734</v>
      </c>
      <c r="P50" s="126">
        <v>43752</v>
      </c>
      <c r="Q50" s="126">
        <v>43751</v>
      </c>
      <c r="R50" s="127">
        <v>43757</v>
      </c>
      <c r="S50" s="124">
        <v>42</v>
      </c>
      <c r="T50" s="124">
        <v>1</v>
      </c>
      <c r="U50" s="73">
        <v>0</v>
      </c>
      <c r="V50" s="71">
        <v>1</v>
      </c>
      <c r="W50" s="129">
        <v>9.0909090909090912E-2</v>
      </c>
      <c r="X50" s="129">
        <v>0</v>
      </c>
      <c r="AA50" s="71">
        <v>0</v>
      </c>
    </row>
    <row r="51" spans="1:27">
      <c r="A51" s="122" t="s">
        <v>1174</v>
      </c>
      <c r="B51" s="122" t="s">
        <v>1325</v>
      </c>
      <c r="C51" s="122" t="s">
        <v>1157</v>
      </c>
      <c r="D51" s="122" t="s">
        <v>1364</v>
      </c>
      <c r="E51" s="122" t="s">
        <v>1325</v>
      </c>
      <c r="M51" s="122" t="s">
        <v>1326</v>
      </c>
      <c r="N51" s="122" t="s">
        <v>579</v>
      </c>
      <c r="O51" s="126">
        <v>43755</v>
      </c>
      <c r="P51" s="126">
        <v>43759</v>
      </c>
      <c r="Q51" s="126">
        <v>43751</v>
      </c>
      <c r="R51" s="127">
        <v>43757</v>
      </c>
      <c r="S51" s="124">
        <v>42</v>
      </c>
      <c r="T51" s="124">
        <v>2</v>
      </c>
      <c r="U51" s="73">
        <v>0</v>
      </c>
      <c r="V51" s="71">
        <v>1</v>
      </c>
      <c r="W51" s="129">
        <v>0</v>
      </c>
      <c r="X51" s="129">
        <v>0</v>
      </c>
      <c r="AA51" s="71">
        <v>0</v>
      </c>
    </row>
    <row r="52" spans="1:27">
      <c r="A52" s="122" t="s">
        <v>1174</v>
      </c>
      <c r="B52" s="122" t="s">
        <v>1325</v>
      </c>
      <c r="C52" s="122" t="s">
        <v>1157</v>
      </c>
      <c r="D52" s="122" t="s">
        <v>1364</v>
      </c>
      <c r="E52" s="122" t="s">
        <v>1325</v>
      </c>
      <c r="M52" s="122" t="s">
        <v>1326</v>
      </c>
      <c r="N52" s="122" t="s">
        <v>579</v>
      </c>
      <c r="O52" s="126">
        <v>43755</v>
      </c>
      <c r="P52" s="126">
        <v>43759</v>
      </c>
      <c r="Q52" s="126">
        <v>43758</v>
      </c>
      <c r="R52" s="127">
        <v>43764</v>
      </c>
      <c r="S52" s="124">
        <v>43</v>
      </c>
      <c r="T52" s="124">
        <v>1</v>
      </c>
      <c r="U52" s="73">
        <v>0</v>
      </c>
      <c r="V52" s="71">
        <v>1</v>
      </c>
      <c r="W52" s="129">
        <v>0</v>
      </c>
      <c r="X52" s="129">
        <v>0</v>
      </c>
      <c r="AA52" s="71">
        <v>0</v>
      </c>
    </row>
    <row r="53" spans="1:27">
      <c r="A53" s="122" t="s">
        <v>1175</v>
      </c>
      <c r="B53" s="122" t="s">
        <v>1329</v>
      </c>
      <c r="C53" s="122" t="s">
        <v>1157</v>
      </c>
      <c r="D53" s="122" t="s">
        <v>1365</v>
      </c>
      <c r="E53" s="122" t="s">
        <v>1327</v>
      </c>
      <c r="F53" s="122" t="s">
        <v>1329</v>
      </c>
      <c r="M53" s="122" t="s">
        <v>1330</v>
      </c>
      <c r="N53" s="122" t="s">
        <v>579</v>
      </c>
      <c r="O53" s="126">
        <v>43755</v>
      </c>
      <c r="P53" s="126">
        <v>43759</v>
      </c>
      <c r="Q53" s="126">
        <v>43751</v>
      </c>
      <c r="R53" s="127">
        <v>43757</v>
      </c>
      <c r="S53" s="124">
        <v>42</v>
      </c>
      <c r="T53" s="124">
        <v>2</v>
      </c>
      <c r="U53" s="73">
        <v>0</v>
      </c>
      <c r="V53" s="71">
        <v>1</v>
      </c>
      <c r="W53" s="129">
        <v>0</v>
      </c>
      <c r="X53" s="129">
        <v>0</v>
      </c>
      <c r="AA53" s="71">
        <v>0</v>
      </c>
    </row>
    <row r="54" spans="1:27">
      <c r="A54" s="122" t="s">
        <v>1175</v>
      </c>
      <c r="B54" s="122" t="s">
        <v>1329</v>
      </c>
      <c r="C54" s="122" t="s">
        <v>1157</v>
      </c>
      <c r="D54" s="122" t="s">
        <v>1365</v>
      </c>
      <c r="E54" s="122" t="s">
        <v>1327</v>
      </c>
      <c r="F54" s="122" t="s">
        <v>1329</v>
      </c>
      <c r="M54" s="122" t="s">
        <v>1330</v>
      </c>
      <c r="N54" s="122" t="s">
        <v>579</v>
      </c>
      <c r="O54" s="126">
        <v>43755</v>
      </c>
      <c r="P54" s="126">
        <v>43759</v>
      </c>
      <c r="Q54" s="126">
        <v>43758</v>
      </c>
      <c r="R54" s="127">
        <v>43764</v>
      </c>
      <c r="S54" s="124">
        <v>43</v>
      </c>
      <c r="T54" s="124">
        <v>1</v>
      </c>
      <c r="U54" s="73">
        <v>0</v>
      </c>
      <c r="V54" s="71">
        <v>1</v>
      </c>
      <c r="W54" s="129">
        <v>0</v>
      </c>
      <c r="X54" s="129">
        <v>0</v>
      </c>
      <c r="AA54" s="71">
        <v>0</v>
      </c>
    </row>
    <row r="55" spans="1:27">
      <c r="A55" s="122" t="s">
        <v>1193</v>
      </c>
      <c r="B55" s="122" t="s">
        <v>1333</v>
      </c>
      <c r="C55" s="122" t="s">
        <v>1157</v>
      </c>
      <c r="D55" s="122" t="s">
        <v>1365</v>
      </c>
      <c r="E55" s="122" t="s">
        <v>1327</v>
      </c>
      <c r="F55" s="122" t="s">
        <v>1331</v>
      </c>
      <c r="G55" s="122" t="s">
        <v>1332</v>
      </c>
      <c r="H55" s="122" t="s">
        <v>1333</v>
      </c>
      <c r="M55" s="122" t="s">
        <v>1334</v>
      </c>
      <c r="N55" s="122" t="s">
        <v>579</v>
      </c>
      <c r="O55" s="126">
        <v>43755</v>
      </c>
      <c r="P55" s="126">
        <v>43759</v>
      </c>
      <c r="Q55" s="126">
        <v>43751</v>
      </c>
      <c r="R55" s="127">
        <v>43757</v>
      </c>
      <c r="S55" s="124">
        <v>42</v>
      </c>
      <c r="T55" s="124">
        <v>2</v>
      </c>
      <c r="U55" s="73">
        <v>0</v>
      </c>
      <c r="V55" s="71">
        <v>1</v>
      </c>
      <c r="W55" s="129">
        <v>0</v>
      </c>
      <c r="X55" s="129">
        <v>0</v>
      </c>
      <c r="AA55" s="71">
        <v>0</v>
      </c>
    </row>
    <row r="56" spans="1:27">
      <c r="A56" s="122" t="s">
        <v>1193</v>
      </c>
      <c r="B56" s="122" t="s">
        <v>1333</v>
      </c>
      <c r="C56" s="122" t="s">
        <v>1157</v>
      </c>
      <c r="D56" s="122" t="s">
        <v>1365</v>
      </c>
      <c r="E56" s="122" t="s">
        <v>1327</v>
      </c>
      <c r="F56" s="122" t="s">
        <v>1331</v>
      </c>
      <c r="G56" s="122" t="s">
        <v>1332</v>
      </c>
      <c r="H56" s="122" t="s">
        <v>1333</v>
      </c>
      <c r="M56" s="122" t="s">
        <v>1334</v>
      </c>
      <c r="N56" s="122" t="s">
        <v>579</v>
      </c>
      <c r="O56" s="126">
        <v>43755</v>
      </c>
      <c r="P56" s="126">
        <v>43759</v>
      </c>
      <c r="Q56" s="126">
        <v>43758</v>
      </c>
      <c r="R56" s="127">
        <v>43764</v>
      </c>
      <c r="S56" s="124">
        <v>43</v>
      </c>
      <c r="T56" s="124">
        <v>1</v>
      </c>
      <c r="U56" s="73">
        <v>0</v>
      </c>
      <c r="V56" s="71">
        <v>1</v>
      </c>
      <c r="W56" s="129">
        <v>0</v>
      </c>
      <c r="X56" s="129">
        <v>0</v>
      </c>
      <c r="AA56" s="71">
        <v>0</v>
      </c>
    </row>
    <row r="57" spans="1:27">
      <c r="A57" s="122" t="s">
        <v>1193</v>
      </c>
      <c r="B57" s="122" t="s">
        <v>1335</v>
      </c>
      <c r="C57" s="122" t="s">
        <v>1157</v>
      </c>
      <c r="D57" s="122" t="s">
        <v>1365</v>
      </c>
      <c r="E57" s="122" t="s">
        <v>1327</v>
      </c>
      <c r="F57" s="122" t="s">
        <v>1331</v>
      </c>
      <c r="G57" s="122" t="s">
        <v>1332</v>
      </c>
      <c r="H57" s="122" t="s">
        <v>1335</v>
      </c>
      <c r="M57" s="122" t="s">
        <v>1336</v>
      </c>
      <c r="N57" s="122" t="s">
        <v>579</v>
      </c>
      <c r="O57" s="126">
        <v>43762</v>
      </c>
      <c r="P57" s="126">
        <v>43766</v>
      </c>
      <c r="Q57" s="126">
        <v>43758</v>
      </c>
      <c r="R57" s="127">
        <v>43764</v>
      </c>
      <c r="S57" s="124">
        <v>43</v>
      </c>
      <c r="T57" s="124">
        <v>2</v>
      </c>
      <c r="U57" s="73">
        <v>0</v>
      </c>
      <c r="V57" s="71">
        <v>1</v>
      </c>
      <c r="W57" s="129">
        <v>0</v>
      </c>
      <c r="X57" s="129">
        <v>0</v>
      </c>
      <c r="AA57" s="71">
        <v>0</v>
      </c>
    </row>
    <row r="58" spans="1:27">
      <c r="A58" s="122" t="s">
        <v>1193</v>
      </c>
      <c r="B58" s="122" t="s">
        <v>1335</v>
      </c>
      <c r="C58" s="122" t="s">
        <v>1157</v>
      </c>
      <c r="D58" s="122" t="s">
        <v>1365</v>
      </c>
      <c r="E58" s="122" t="s">
        <v>1327</v>
      </c>
      <c r="F58" s="122" t="s">
        <v>1331</v>
      </c>
      <c r="G58" s="122" t="s">
        <v>1332</v>
      </c>
      <c r="H58" s="122" t="s">
        <v>1335</v>
      </c>
      <c r="M58" s="122" t="s">
        <v>1336</v>
      </c>
      <c r="N58" s="122" t="s">
        <v>579</v>
      </c>
      <c r="O58" s="126">
        <v>43762</v>
      </c>
      <c r="P58" s="126">
        <v>43766</v>
      </c>
      <c r="Q58" s="126">
        <v>43765</v>
      </c>
      <c r="R58" s="127">
        <v>43771</v>
      </c>
      <c r="S58" s="124">
        <v>44</v>
      </c>
      <c r="T58" s="124">
        <v>1</v>
      </c>
      <c r="U58" s="73">
        <v>0</v>
      </c>
      <c r="V58" s="71">
        <v>1</v>
      </c>
      <c r="W58" s="129">
        <v>0</v>
      </c>
      <c r="X58" s="129">
        <v>0</v>
      </c>
      <c r="AA58" s="71">
        <v>0</v>
      </c>
    </row>
    <row r="59" spans="1:27">
      <c r="A59" s="122" t="s">
        <v>1193</v>
      </c>
      <c r="B59" s="122" t="s">
        <v>1337</v>
      </c>
      <c r="C59" s="122" t="s">
        <v>1157</v>
      </c>
      <c r="D59" s="122" t="s">
        <v>1365</v>
      </c>
      <c r="E59" s="122" t="s">
        <v>1327</v>
      </c>
      <c r="F59" s="122" t="s">
        <v>1331</v>
      </c>
      <c r="G59" s="122" t="s">
        <v>1332</v>
      </c>
      <c r="H59" s="122" t="s">
        <v>1337</v>
      </c>
      <c r="M59" s="122" t="s">
        <v>1338</v>
      </c>
      <c r="N59" s="122" t="s">
        <v>579</v>
      </c>
      <c r="O59" s="126">
        <v>43762</v>
      </c>
      <c r="P59" s="126">
        <v>43773</v>
      </c>
      <c r="Q59" s="126">
        <v>43758</v>
      </c>
      <c r="R59" s="127">
        <v>43764</v>
      </c>
      <c r="S59" s="124">
        <v>43</v>
      </c>
      <c r="T59" s="124">
        <v>2</v>
      </c>
      <c r="U59" s="73">
        <v>0</v>
      </c>
      <c r="V59" s="71">
        <v>1</v>
      </c>
      <c r="W59" s="129">
        <v>0</v>
      </c>
      <c r="X59" s="129">
        <v>0</v>
      </c>
      <c r="AA59" s="71">
        <v>0</v>
      </c>
    </row>
    <row r="60" spans="1:27">
      <c r="A60" s="122" t="s">
        <v>1193</v>
      </c>
      <c r="B60" s="122" t="s">
        <v>1337</v>
      </c>
      <c r="C60" s="122" t="s">
        <v>1157</v>
      </c>
      <c r="D60" s="122" t="s">
        <v>1365</v>
      </c>
      <c r="E60" s="122" t="s">
        <v>1327</v>
      </c>
      <c r="F60" s="122" t="s">
        <v>1331</v>
      </c>
      <c r="G60" s="122" t="s">
        <v>1332</v>
      </c>
      <c r="H60" s="122" t="s">
        <v>1337</v>
      </c>
      <c r="M60" s="122" t="s">
        <v>1338</v>
      </c>
      <c r="N60" s="122" t="s">
        <v>579</v>
      </c>
      <c r="O60" s="126">
        <v>43762</v>
      </c>
      <c r="P60" s="126">
        <v>43773</v>
      </c>
      <c r="Q60" s="126">
        <v>43765</v>
      </c>
      <c r="R60" s="127">
        <v>43771</v>
      </c>
      <c r="S60" s="124">
        <v>44</v>
      </c>
      <c r="T60" s="124">
        <v>5</v>
      </c>
      <c r="U60" s="73">
        <v>0</v>
      </c>
      <c r="V60" s="71">
        <v>1</v>
      </c>
      <c r="W60" s="129">
        <v>0</v>
      </c>
      <c r="X60" s="129">
        <v>0</v>
      </c>
      <c r="AA60" s="71">
        <v>0</v>
      </c>
    </row>
    <row r="61" spans="1:27">
      <c r="A61" s="122" t="s">
        <v>1193</v>
      </c>
      <c r="B61" s="122" t="s">
        <v>1337</v>
      </c>
      <c r="C61" s="122" t="s">
        <v>1157</v>
      </c>
      <c r="D61" s="122" t="s">
        <v>1365</v>
      </c>
      <c r="E61" s="122" t="s">
        <v>1327</v>
      </c>
      <c r="F61" s="122" t="s">
        <v>1331</v>
      </c>
      <c r="G61" s="122" t="s">
        <v>1332</v>
      </c>
      <c r="H61" s="122" t="s">
        <v>1337</v>
      </c>
      <c r="M61" s="122" t="s">
        <v>1338</v>
      </c>
      <c r="N61" s="122" t="s">
        <v>579</v>
      </c>
      <c r="O61" s="126">
        <v>43762</v>
      </c>
      <c r="P61" s="126">
        <v>43773</v>
      </c>
      <c r="Q61" s="126">
        <v>43772</v>
      </c>
      <c r="R61" s="127">
        <v>43778</v>
      </c>
      <c r="S61" s="124">
        <v>45</v>
      </c>
      <c r="T61" s="124">
        <v>1</v>
      </c>
      <c r="U61" s="73">
        <v>0</v>
      </c>
      <c r="V61" s="71">
        <v>1</v>
      </c>
      <c r="W61" s="129">
        <v>0</v>
      </c>
      <c r="X61" s="129">
        <v>0</v>
      </c>
      <c r="AA61" s="71">
        <v>0</v>
      </c>
    </row>
    <row r="62" spans="1:27">
      <c r="A62" s="122" t="s">
        <v>1192</v>
      </c>
      <c r="B62" s="122" t="s">
        <v>1339</v>
      </c>
      <c r="C62" s="122" t="s">
        <v>1157</v>
      </c>
      <c r="D62" s="122" t="s">
        <v>1365</v>
      </c>
      <c r="E62" s="122" t="s">
        <v>1327</v>
      </c>
      <c r="F62" s="122" t="s">
        <v>1331</v>
      </c>
      <c r="G62" s="122" t="s">
        <v>1339</v>
      </c>
      <c r="M62" s="122" t="s">
        <v>1340</v>
      </c>
      <c r="N62" s="122" t="s">
        <v>579</v>
      </c>
      <c r="O62" s="126">
        <v>43755</v>
      </c>
      <c r="P62" s="126">
        <v>43814</v>
      </c>
      <c r="Q62" s="126">
        <v>43751</v>
      </c>
      <c r="R62" s="127">
        <v>43757</v>
      </c>
      <c r="S62" s="124">
        <v>42</v>
      </c>
      <c r="T62" s="124">
        <v>2</v>
      </c>
      <c r="U62" s="73">
        <v>0</v>
      </c>
      <c r="V62" s="71">
        <v>1</v>
      </c>
      <c r="W62" s="129">
        <v>0</v>
      </c>
      <c r="X62" s="129">
        <v>0</v>
      </c>
      <c r="AA62" s="71">
        <v>0</v>
      </c>
    </row>
    <row r="63" spans="1:27">
      <c r="A63" s="122" t="s">
        <v>1192</v>
      </c>
      <c r="B63" s="122" t="s">
        <v>1339</v>
      </c>
      <c r="C63" s="122" t="s">
        <v>1157</v>
      </c>
      <c r="D63" s="122" t="s">
        <v>1365</v>
      </c>
      <c r="E63" s="122" t="s">
        <v>1327</v>
      </c>
      <c r="F63" s="122" t="s">
        <v>1331</v>
      </c>
      <c r="G63" s="122" t="s">
        <v>1339</v>
      </c>
      <c r="M63" s="122" t="s">
        <v>1340</v>
      </c>
      <c r="N63" s="122" t="s">
        <v>579</v>
      </c>
      <c r="O63" s="126">
        <v>43755</v>
      </c>
      <c r="P63" s="126">
        <v>43814</v>
      </c>
      <c r="Q63" s="126">
        <v>43758</v>
      </c>
      <c r="R63" s="127">
        <v>43764</v>
      </c>
      <c r="S63" s="124">
        <v>43</v>
      </c>
      <c r="T63" s="124">
        <v>5</v>
      </c>
      <c r="U63" s="73">
        <v>0</v>
      </c>
      <c r="V63" s="71">
        <v>1</v>
      </c>
      <c r="W63" s="129">
        <v>0</v>
      </c>
      <c r="X63" s="129">
        <v>0</v>
      </c>
      <c r="AA63" s="71">
        <v>0</v>
      </c>
    </row>
    <row r="64" spans="1:27">
      <c r="A64" s="122" t="s">
        <v>1192</v>
      </c>
      <c r="B64" s="122" t="s">
        <v>1339</v>
      </c>
      <c r="C64" s="122" t="s">
        <v>1157</v>
      </c>
      <c r="D64" s="122" t="s">
        <v>1365</v>
      </c>
      <c r="E64" s="122" t="s">
        <v>1327</v>
      </c>
      <c r="F64" s="122" t="s">
        <v>1331</v>
      </c>
      <c r="G64" s="122" t="s">
        <v>1339</v>
      </c>
      <c r="M64" s="122" t="s">
        <v>1340</v>
      </c>
      <c r="N64" s="122" t="s">
        <v>579</v>
      </c>
      <c r="O64" s="126">
        <v>43755</v>
      </c>
      <c r="P64" s="126">
        <v>43814</v>
      </c>
      <c r="Q64" s="126">
        <v>43765</v>
      </c>
      <c r="R64" s="127">
        <v>43771</v>
      </c>
      <c r="S64" s="124">
        <v>44</v>
      </c>
      <c r="T64" s="124">
        <v>5</v>
      </c>
      <c r="U64" s="73">
        <v>0</v>
      </c>
      <c r="V64" s="71">
        <v>1</v>
      </c>
      <c r="W64" s="129">
        <v>0</v>
      </c>
      <c r="X64" s="129">
        <v>0</v>
      </c>
      <c r="AA64" s="71">
        <v>0</v>
      </c>
    </row>
    <row r="65" spans="1:27">
      <c r="A65" s="122" t="s">
        <v>1192</v>
      </c>
      <c r="B65" s="122" t="s">
        <v>1339</v>
      </c>
      <c r="C65" s="122" t="s">
        <v>1157</v>
      </c>
      <c r="D65" s="122" t="s">
        <v>1365</v>
      </c>
      <c r="E65" s="122" t="s">
        <v>1327</v>
      </c>
      <c r="F65" s="122" t="s">
        <v>1331</v>
      </c>
      <c r="G65" s="122" t="s">
        <v>1339</v>
      </c>
      <c r="M65" s="122" t="s">
        <v>1340</v>
      </c>
      <c r="N65" s="122" t="s">
        <v>579</v>
      </c>
      <c r="O65" s="126">
        <v>43755</v>
      </c>
      <c r="P65" s="126">
        <v>43814</v>
      </c>
      <c r="Q65" s="126">
        <v>43772</v>
      </c>
      <c r="R65" s="127">
        <v>43778</v>
      </c>
      <c r="S65" s="124">
        <v>45</v>
      </c>
      <c r="T65" s="124">
        <v>5</v>
      </c>
      <c r="U65" s="73">
        <v>0</v>
      </c>
      <c r="V65" s="71">
        <v>1</v>
      </c>
      <c r="W65" s="129">
        <v>0</v>
      </c>
      <c r="X65" s="129">
        <v>0</v>
      </c>
      <c r="AA65" s="71">
        <v>0</v>
      </c>
    </row>
    <row r="66" spans="1:27">
      <c r="A66" s="122" t="s">
        <v>1192</v>
      </c>
      <c r="B66" s="122" t="s">
        <v>1339</v>
      </c>
      <c r="C66" s="122" t="s">
        <v>1157</v>
      </c>
      <c r="D66" s="122" t="s">
        <v>1365</v>
      </c>
      <c r="E66" s="122" t="s">
        <v>1327</v>
      </c>
      <c r="F66" s="122" t="s">
        <v>1331</v>
      </c>
      <c r="G66" s="122" t="s">
        <v>1339</v>
      </c>
      <c r="M66" s="122" t="s">
        <v>1340</v>
      </c>
      <c r="N66" s="122" t="s">
        <v>579</v>
      </c>
      <c r="O66" s="126">
        <v>43755</v>
      </c>
      <c r="P66" s="126">
        <v>43814</v>
      </c>
      <c r="Q66" s="126">
        <v>43779</v>
      </c>
      <c r="R66" s="127">
        <v>43785</v>
      </c>
      <c r="S66" s="124">
        <v>46</v>
      </c>
      <c r="T66" s="124">
        <v>5</v>
      </c>
      <c r="U66" s="73">
        <v>0</v>
      </c>
      <c r="V66" s="71">
        <v>1</v>
      </c>
      <c r="W66" s="129">
        <v>0</v>
      </c>
      <c r="X66" s="129">
        <v>0</v>
      </c>
      <c r="AA66" s="71">
        <v>0</v>
      </c>
    </row>
    <row r="67" spans="1:27">
      <c r="A67" s="122" t="s">
        <v>1192</v>
      </c>
      <c r="B67" s="122" t="s">
        <v>1339</v>
      </c>
      <c r="C67" s="122" t="s">
        <v>1157</v>
      </c>
      <c r="D67" s="122" t="s">
        <v>1365</v>
      </c>
      <c r="E67" s="122" t="s">
        <v>1327</v>
      </c>
      <c r="F67" s="122" t="s">
        <v>1331</v>
      </c>
      <c r="G67" s="122" t="s">
        <v>1339</v>
      </c>
      <c r="M67" s="122" t="s">
        <v>1340</v>
      </c>
      <c r="N67" s="122" t="s">
        <v>579</v>
      </c>
      <c r="O67" s="126">
        <v>43755</v>
      </c>
      <c r="P67" s="126">
        <v>43814</v>
      </c>
      <c r="Q67" s="126">
        <v>43786</v>
      </c>
      <c r="R67" s="127">
        <v>43792</v>
      </c>
      <c r="S67" s="124">
        <v>47</v>
      </c>
      <c r="T67" s="124">
        <v>5</v>
      </c>
      <c r="U67" s="73">
        <v>0</v>
      </c>
      <c r="V67" s="71">
        <v>1</v>
      </c>
      <c r="W67" s="129">
        <v>0</v>
      </c>
      <c r="X67" s="129">
        <v>0</v>
      </c>
      <c r="AA67" s="71">
        <v>0</v>
      </c>
    </row>
    <row r="68" spans="1:27">
      <c r="A68" s="122" t="s">
        <v>1192</v>
      </c>
      <c r="B68" s="122" t="s">
        <v>1339</v>
      </c>
      <c r="C68" s="122" t="s">
        <v>1157</v>
      </c>
      <c r="D68" s="122" t="s">
        <v>1365</v>
      </c>
      <c r="E68" s="122" t="s">
        <v>1327</v>
      </c>
      <c r="F68" s="122" t="s">
        <v>1331</v>
      </c>
      <c r="G68" s="122" t="s">
        <v>1339</v>
      </c>
      <c r="M68" s="122" t="s">
        <v>1340</v>
      </c>
      <c r="N68" s="122" t="s">
        <v>579</v>
      </c>
      <c r="O68" s="126">
        <v>43755</v>
      </c>
      <c r="P68" s="126">
        <v>43814</v>
      </c>
      <c r="Q68" s="126">
        <v>43793</v>
      </c>
      <c r="R68" s="127">
        <v>43799</v>
      </c>
      <c r="S68" s="124">
        <v>48</v>
      </c>
      <c r="T68" s="124">
        <v>5</v>
      </c>
      <c r="U68" s="73">
        <v>0</v>
      </c>
      <c r="V68" s="71">
        <v>1</v>
      </c>
      <c r="W68" s="129">
        <v>0</v>
      </c>
      <c r="X68" s="129">
        <v>0</v>
      </c>
      <c r="AA68" s="71">
        <v>0</v>
      </c>
    </row>
    <row r="69" spans="1:27">
      <c r="A69" s="122" t="s">
        <v>1192</v>
      </c>
      <c r="B69" s="122" t="s">
        <v>1339</v>
      </c>
      <c r="C69" s="122" t="s">
        <v>1157</v>
      </c>
      <c r="D69" s="122" t="s">
        <v>1365</v>
      </c>
      <c r="E69" s="122" t="s">
        <v>1327</v>
      </c>
      <c r="F69" s="122" t="s">
        <v>1331</v>
      </c>
      <c r="G69" s="122" t="s">
        <v>1339</v>
      </c>
      <c r="M69" s="122" t="s">
        <v>1340</v>
      </c>
      <c r="N69" s="122" t="s">
        <v>579</v>
      </c>
      <c r="O69" s="126">
        <v>43755</v>
      </c>
      <c r="P69" s="126">
        <v>43814</v>
      </c>
      <c r="Q69" s="126">
        <v>43800</v>
      </c>
      <c r="R69" s="127">
        <v>43806</v>
      </c>
      <c r="S69" s="124">
        <v>49</v>
      </c>
      <c r="T69" s="124">
        <v>5</v>
      </c>
      <c r="U69" s="73">
        <v>0</v>
      </c>
      <c r="V69" s="71">
        <v>1</v>
      </c>
      <c r="W69" s="129">
        <v>0</v>
      </c>
      <c r="X69" s="129">
        <v>0</v>
      </c>
      <c r="AA69" s="71">
        <v>0</v>
      </c>
    </row>
    <row r="70" spans="1:27">
      <c r="A70" s="122" t="s">
        <v>1192</v>
      </c>
      <c r="B70" s="122" t="s">
        <v>1339</v>
      </c>
      <c r="C70" s="122" t="s">
        <v>1157</v>
      </c>
      <c r="D70" s="122" t="s">
        <v>1365</v>
      </c>
      <c r="E70" s="122" t="s">
        <v>1327</v>
      </c>
      <c r="F70" s="122" t="s">
        <v>1331</v>
      </c>
      <c r="G70" s="122" t="s">
        <v>1339</v>
      </c>
      <c r="M70" s="122" t="s">
        <v>1340</v>
      </c>
      <c r="N70" s="122" t="s">
        <v>579</v>
      </c>
      <c r="O70" s="126">
        <v>43755</v>
      </c>
      <c r="P70" s="126">
        <v>43814</v>
      </c>
      <c r="Q70" s="126">
        <v>43807</v>
      </c>
      <c r="R70" s="127">
        <v>43813</v>
      </c>
      <c r="S70" s="124">
        <v>50</v>
      </c>
      <c r="T70" s="124">
        <v>5</v>
      </c>
      <c r="U70" s="73">
        <v>0</v>
      </c>
      <c r="V70" s="71">
        <v>1</v>
      </c>
      <c r="W70" s="129">
        <v>0</v>
      </c>
      <c r="X70" s="129">
        <v>0</v>
      </c>
      <c r="AA70" s="71">
        <v>0</v>
      </c>
    </row>
    <row r="71" spans="1:27">
      <c r="A71" s="122" t="s">
        <v>1192</v>
      </c>
      <c r="B71" s="122" t="s">
        <v>1339</v>
      </c>
      <c r="C71" s="122" t="s">
        <v>1157</v>
      </c>
      <c r="D71" s="122" t="s">
        <v>1365</v>
      </c>
      <c r="E71" s="122" t="s">
        <v>1327</v>
      </c>
      <c r="F71" s="122" t="s">
        <v>1331</v>
      </c>
      <c r="G71" s="122" t="s">
        <v>1339</v>
      </c>
      <c r="M71" s="122" t="s">
        <v>1340</v>
      </c>
      <c r="N71" s="122" t="s">
        <v>579</v>
      </c>
      <c r="O71" s="126">
        <v>43755</v>
      </c>
      <c r="P71" s="126">
        <v>43814</v>
      </c>
      <c r="Q71" s="126">
        <v>43814</v>
      </c>
      <c r="R71" s="127">
        <v>43820</v>
      </c>
      <c r="S71" s="124">
        <v>51</v>
      </c>
      <c r="T71" s="124">
        <v>0</v>
      </c>
      <c r="U71" s="73">
        <v>0</v>
      </c>
      <c r="V71" s="71">
        <v>1</v>
      </c>
      <c r="W71" s="129">
        <v>0</v>
      </c>
      <c r="X71" s="129">
        <v>0</v>
      </c>
      <c r="AA71" s="71">
        <v>0</v>
      </c>
    </row>
    <row r="72" spans="1:27">
      <c r="A72" s="122" t="s">
        <v>1192</v>
      </c>
      <c r="B72" s="122" t="s">
        <v>1341</v>
      </c>
      <c r="C72" s="122" t="s">
        <v>1157</v>
      </c>
      <c r="D72" s="122" t="s">
        <v>1365</v>
      </c>
      <c r="E72" s="122" t="s">
        <v>1327</v>
      </c>
      <c r="F72" s="122" t="s">
        <v>1331</v>
      </c>
      <c r="G72" s="122" t="s">
        <v>1341</v>
      </c>
      <c r="M72" s="122" t="s">
        <v>1342</v>
      </c>
      <c r="N72" s="122" t="s">
        <v>579</v>
      </c>
      <c r="O72" s="126">
        <v>43755</v>
      </c>
      <c r="P72" s="126">
        <v>43814</v>
      </c>
      <c r="Q72" s="126">
        <v>43751</v>
      </c>
      <c r="R72" s="127">
        <v>43757</v>
      </c>
      <c r="S72" s="124">
        <v>42</v>
      </c>
      <c r="T72" s="124">
        <v>2</v>
      </c>
      <c r="U72" s="73">
        <v>0</v>
      </c>
      <c r="V72" s="71">
        <v>1</v>
      </c>
      <c r="W72" s="129">
        <v>0</v>
      </c>
      <c r="X72" s="129">
        <v>0</v>
      </c>
      <c r="AA72" s="71">
        <v>0</v>
      </c>
    </row>
    <row r="73" spans="1:27">
      <c r="A73" s="122" t="s">
        <v>1192</v>
      </c>
      <c r="B73" s="122" t="s">
        <v>1341</v>
      </c>
      <c r="C73" s="122" t="s">
        <v>1157</v>
      </c>
      <c r="D73" s="122" t="s">
        <v>1365</v>
      </c>
      <c r="E73" s="122" t="s">
        <v>1327</v>
      </c>
      <c r="F73" s="122" t="s">
        <v>1331</v>
      </c>
      <c r="G73" s="122" t="s">
        <v>1341</v>
      </c>
      <c r="M73" s="122" t="s">
        <v>1342</v>
      </c>
      <c r="N73" s="122" t="s">
        <v>579</v>
      </c>
      <c r="O73" s="126">
        <v>43755</v>
      </c>
      <c r="P73" s="126">
        <v>43814</v>
      </c>
      <c r="Q73" s="126">
        <v>43758</v>
      </c>
      <c r="R73" s="127">
        <v>43764</v>
      </c>
      <c r="S73" s="124">
        <v>43</v>
      </c>
      <c r="T73" s="124">
        <v>5</v>
      </c>
      <c r="U73" s="73">
        <v>0</v>
      </c>
      <c r="V73" s="71">
        <v>1</v>
      </c>
      <c r="W73" s="129">
        <v>0</v>
      </c>
      <c r="X73" s="129">
        <v>0</v>
      </c>
      <c r="AA73" s="71">
        <v>0</v>
      </c>
    </row>
    <row r="74" spans="1:27">
      <c r="A74" s="122" t="s">
        <v>1192</v>
      </c>
      <c r="B74" s="122" t="s">
        <v>1341</v>
      </c>
      <c r="C74" s="122" t="s">
        <v>1157</v>
      </c>
      <c r="D74" s="122" t="s">
        <v>1365</v>
      </c>
      <c r="E74" s="122" t="s">
        <v>1327</v>
      </c>
      <c r="F74" s="122" t="s">
        <v>1331</v>
      </c>
      <c r="G74" s="122" t="s">
        <v>1341</v>
      </c>
      <c r="M74" s="122" t="s">
        <v>1342</v>
      </c>
      <c r="N74" s="122" t="s">
        <v>579</v>
      </c>
      <c r="O74" s="126">
        <v>43755</v>
      </c>
      <c r="P74" s="126">
        <v>43814</v>
      </c>
      <c r="Q74" s="126">
        <v>43765</v>
      </c>
      <c r="R74" s="127">
        <v>43771</v>
      </c>
      <c r="S74" s="124">
        <v>44</v>
      </c>
      <c r="T74" s="124">
        <v>5</v>
      </c>
      <c r="U74" s="73">
        <v>0</v>
      </c>
      <c r="V74" s="71">
        <v>1</v>
      </c>
      <c r="W74" s="129">
        <v>0</v>
      </c>
      <c r="X74" s="129">
        <v>0</v>
      </c>
      <c r="AA74" s="71">
        <v>0</v>
      </c>
    </row>
    <row r="75" spans="1:27">
      <c r="A75" s="122" t="s">
        <v>1192</v>
      </c>
      <c r="B75" s="122" t="s">
        <v>1341</v>
      </c>
      <c r="C75" s="122" t="s">
        <v>1157</v>
      </c>
      <c r="D75" s="122" t="s">
        <v>1365</v>
      </c>
      <c r="E75" s="122" t="s">
        <v>1327</v>
      </c>
      <c r="F75" s="122" t="s">
        <v>1331</v>
      </c>
      <c r="G75" s="122" t="s">
        <v>1341</v>
      </c>
      <c r="M75" s="122" t="s">
        <v>1342</v>
      </c>
      <c r="N75" s="122" t="s">
        <v>579</v>
      </c>
      <c r="O75" s="126">
        <v>43755</v>
      </c>
      <c r="P75" s="126">
        <v>43814</v>
      </c>
      <c r="Q75" s="126">
        <v>43772</v>
      </c>
      <c r="R75" s="127">
        <v>43778</v>
      </c>
      <c r="S75" s="124">
        <v>45</v>
      </c>
      <c r="T75" s="124">
        <v>5</v>
      </c>
      <c r="U75" s="73">
        <v>0</v>
      </c>
      <c r="V75" s="71">
        <v>1</v>
      </c>
      <c r="W75" s="129">
        <v>0</v>
      </c>
      <c r="X75" s="129">
        <v>0</v>
      </c>
      <c r="AA75" s="71">
        <v>0</v>
      </c>
    </row>
    <row r="76" spans="1:27">
      <c r="A76" s="122" t="s">
        <v>1192</v>
      </c>
      <c r="B76" s="122" t="s">
        <v>1341</v>
      </c>
      <c r="C76" s="122" t="s">
        <v>1157</v>
      </c>
      <c r="D76" s="122" t="s">
        <v>1365</v>
      </c>
      <c r="E76" s="122" t="s">
        <v>1327</v>
      </c>
      <c r="F76" s="122" t="s">
        <v>1331</v>
      </c>
      <c r="G76" s="122" t="s">
        <v>1341</v>
      </c>
      <c r="M76" s="122" t="s">
        <v>1342</v>
      </c>
      <c r="N76" s="122" t="s">
        <v>579</v>
      </c>
      <c r="O76" s="126">
        <v>43755</v>
      </c>
      <c r="P76" s="126">
        <v>43814</v>
      </c>
      <c r="Q76" s="126">
        <v>43779</v>
      </c>
      <c r="R76" s="127">
        <v>43785</v>
      </c>
      <c r="S76" s="124">
        <v>46</v>
      </c>
      <c r="T76" s="124">
        <v>5</v>
      </c>
      <c r="U76" s="73">
        <v>0</v>
      </c>
      <c r="V76" s="71">
        <v>1</v>
      </c>
      <c r="W76" s="129">
        <v>0</v>
      </c>
      <c r="X76" s="129">
        <v>0</v>
      </c>
      <c r="AA76" s="71">
        <v>0</v>
      </c>
    </row>
    <row r="77" spans="1:27">
      <c r="A77" s="122" t="s">
        <v>1192</v>
      </c>
      <c r="B77" s="122" t="s">
        <v>1341</v>
      </c>
      <c r="C77" s="122" t="s">
        <v>1157</v>
      </c>
      <c r="D77" s="122" t="s">
        <v>1365</v>
      </c>
      <c r="E77" s="122" t="s">
        <v>1327</v>
      </c>
      <c r="F77" s="122" t="s">
        <v>1331</v>
      </c>
      <c r="G77" s="122" t="s">
        <v>1341</v>
      </c>
      <c r="M77" s="122" t="s">
        <v>1342</v>
      </c>
      <c r="N77" s="122" t="s">
        <v>579</v>
      </c>
      <c r="O77" s="126">
        <v>43755</v>
      </c>
      <c r="P77" s="126">
        <v>43814</v>
      </c>
      <c r="Q77" s="126">
        <v>43786</v>
      </c>
      <c r="R77" s="127">
        <v>43792</v>
      </c>
      <c r="S77" s="124">
        <v>47</v>
      </c>
      <c r="T77" s="124">
        <v>5</v>
      </c>
      <c r="U77" s="73">
        <v>0</v>
      </c>
      <c r="V77" s="71">
        <v>1</v>
      </c>
      <c r="W77" s="129">
        <v>0</v>
      </c>
      <c r="X77" s="129">
        <v>0</v>
      </c>
      <c r="AA77" s="71">
        <v>0</v>
      </c>
    </row>
    <row r="78" spans="1:27">
      <c r="A78" s="122" t="s">
        <v>1192</v>
      </c>
      <c r="B78" s="122" t="s">
        <v>1341</v>
      </c>
      <c r="C78" s="122" t="s">
        <v>1157</v>
      </c>
      <c r="D78" s="122" t="s">
        <v>1365</v>
      </c>
      <c r="E78" s="122" t="s">
        <v>1327</v>
      </c>
      <c r="F78" s="122" t="s">
        <v>1331</v>
      </c>
      <c r="G78" s="122" t="s">
        <v>1341</v>
      </c>
      <c r="M78" s="122" t="s">
        <v>1342</v>
      </c>
      <c r="N78" s="122" t="s">
        <v>579</v>
      </c>
      <c r="O78" s="126">
        <v>43755</v>
      </c>
      <c r="P78" s="126">
        <v>43814</v>
      </c>
      <c r="Q78" s="126">
        <v>43793</v>
      </c>
      <c r="R78" s="127">
        <v>43799</v>
      </c>
      <c r="S78" s="124">
        <v>48</v>
      </c>
      <c r="T78" s="124">
        <v>5</v>
      </c>
      <c r="U78" s="73">
        <v>0</v>
      </c>
      <c r="V78" s="71">
        <v>1</v>
      </c>
      <c r="W78" s="129">
        <v>0</v>
      </c>
      <c r="X78" s="129">
        <v>0</v>
      </c>
      <c r="AA78" s="71">
        <v>0</v>
      </c>
    </row>
    <row r="79" spans="1:27">
      <c r="A79" s="122" t="s">
        <v>1192</v>
      </c>
      <c r="B79" s="122" t="s">
        <v>1341</v>
      </c>
      <c r="C79" s="122" t="s">
        <v>1157</v>
      </c>
      <c r="D79" s="122" t="s">
        <v>1365</v>
      </c>
      <c r="E79" s="122" t="s">
        <v>1327</v>
      </c>
      <c r="F79" s="122" t="s">
        <v>1331</v>
      </c>
      <c r="G79" s="122" t="s">
        <v>1341</v>
      </c>
      <c r="M79" s="122" t="s">
        <v>1342</v>
      </c>
      <c r="N79" s="122" t="s">
        <v>579</v>
      </c>
      <c r="O79" s="126">
        <v>43755</v>
      </c>
      <c r="P79" s="126">
        <v>43814</v>
      </c>
      <c r="Q79" s="126">
        <v>43800</v>
      </c>
      <c r="R79" s="127">
        <v>43806</v>
      </c>
      <c r="S79" s="124">
        <v>49</v>
      </c>
      <c r="T79" s="124">
        <v>5</v>
      </c>
      <c r="U79" s="73">
        <v>0</v>
      </c>
      <c r="V79" s="71">
        <v>1</v>
      </c>
      <c r="W79" s="129">
        <v>0</v>
      </c>
      <c r="X79" s="129">
        <v>0</v>
      </c>
      <c r="AA79" s="71">
        <v>0</v>
      </c>
    </row>
    <row r="80" spans="1:27">
      <c r="A80" s="122" t="s">
        <v>1192</v>
      </c>
      <c r="B80" s="122" t="s">
        <v>1341</v>
      </c>
      <c r="C80" s="122" t="s">
        <v>1157</v>
      </c>
      <c r="D80" s="122" t="s">
        <v>1365</v>
      </c>
      <c r="E80" s="122" t="s">
        <v>1327</v>
      </c>
      <c r="F80" s="122" t="s">
        <v>1331</v>
      </c>
      <c r="G80" s="122" t="s">
        <v>1341</v>
      </c>
      <c r="M80" s="122" t="s">
        <v>1342</v>
      </c>
      <c r="N80" s="122" t="s">
        <v>579</v>
      </c>
      <c r="O80" s="126">
        <v>43755</v>
      </c>
      <c r="P80" s="126">
        <v>43814</v>
      </c>
      <c r="Q80" s="126">
        <v>43807</v>
      </c>
      <c r="R80" s="127">
        <v>43813</v>
      </c>
      <c r="S80" s="124">
        <v>50</v>
      </c>
      <c r="T80" s="124">
        <v>5</v>
      </c>
      <c r="U80" s="73">
        <v>0</v>
      </c>
      <c r="V80" s="71">
        <v>1</v>
      </c>
      <c r="W80" s="129">
        <v>0</v>
      </c>
      <c r="X80" s="129">
        <v>0</v>
      </c>
      <c r="AA80" s="71">
        <v>0</v>
      </c>
    </row>
    <row r="81" spans="1:27">
      <c r="A81" s="122" t="s">
        <v>1192</v>
      </c>
      <c r="B81" s="122" t="s">
        <v>1341</v>
      </c>
      <c r="C81" s="122" t="s">
        <v>1157</v>
      </c>
      <c r="D81" s="122" t="s">
        <v>1365</v>
      </c>
      <c r="E81" s="122" t="s">
        <v>1327</v>
      </c>
      <c r="F81" s="122" t="s">
        <v>1331</v>
      </c>
      <c r="G81" s="122" t="s">
        <v>1341</v>
      </c>
      <c r="M81" s="122" t="s">
        <v>1342</v>
      </c>
      <c r="N81" s="122" t="s">
        <v>579</v>
      </c>
      <c r="O81" s="126">
        <v>43755</v>
      </c>
      <c r="P81" s="126">
        <v>43814</v>
      </c>
      <c r="Q81" s="126">
        <v>43814</v>
      </c>
      <c r="R81" s="127">
        <v>43820</v>
      </c>
      <c r="S81" s="124">
        <v>51</v>
      </c>
      <c r="T81" s="124">
        <v>0</v>
      </c>
      <c r="U81" s="73">
        <v>0</v>
      </c>
      <c r="V81" s="71">
        <v>1</v>
      </c>
      <c r="W81" s="129">
        <v>0</v>
      </c>
      <c r="X81" s="129">
        <v>0</v>
      </c>
      <c r="AA81" s="71">
        <v>0</v>
      </c>
    </row>
    <row r="82" spans="1:27">
      <c r="A82" s="122" t="s">
        <v>1192</v>
      </c>
      <c r="B82" s="122" t="s">
        <v>1343</v>
      </c>
      <c r="C82" s="122" t="s">
        <v>1157</v>
      </c>
      <c r="D82" s="122" t="s">
        <v>1365</v>
      </c>
      <c r="E82" s="122" t="s">
        <v>1327</v>
      </c>
      <c r="F82" s="122" t="s">
        <v>1331</v>
      </c>
      <c r="G82" s="122" t="s">
        <v>1343</v>
      </c>
      <c r="M82" s="122" t="s">
        <v>1344</v>
      </c>
      <c r="N82" s="122" t="s">
        <v>579</v>
      </c>
      <c r="O82" s="126">
        <v>43769</v>
      </c>
      <c r="P82" s="126">
        <v>43814</v>
      </c>
      <c r="Q82" s="126">
        <v>43765</v>
      </c>
      <c r="R82" s="127">
        <v>43771</v>
      </c>
      <c r="S82" s="124">
        <v>44</v>
      </c>
      <c r="T82" s="124">
        <v>2</v>
      </c>
      <c r="U82" s="73">
        <v>0</v>
      </c>
      <c r="V82" s="71">
        <v>1</v>
      </c>
      <c r="W82" s="129">
        <v>0</v>
      </c>
      <c r="X82" s="129">
        <v>0</v>
      </c>
      <c r="AA82" s="71">
        <v>0</v>
      </c>
    </row>
    <row r="83" spans="1:27">
      <c r="A83" s="122" t="s">
        <v>1192</v>
      </c>
      <c r="B83" s="122" t="s">
        <v>1343</v>
      </c>
      <c r="C83" s="122" t="s">
        <v>1157</v>
      </c>
      <c r="D83" s="122" t="s">
        <v>1365</v>
      </c>
      <c r="E83" s="122" t="s">
        <v>1327</v>
      </c>
      <c r="F83" s="122" t="s">
        <v>1331</v>
      </c>
      <c r="G83" s="122" t="s">
        <v>1343</v>
      </c>
      <c r="M83" s="122" t="s">
        <v>1344</v>
      </c>
      <c r="N83" s="122" t="s">
        <v>579</v>
      </c>
      <c r="O83" s="126">
        <v>43769</v>
      </c>
      <c r="P83" s="126">
        <v>43814</v>
      </c>
      <c r="Q83" s="126">
        <v>43772</v>
      </c>
      <c r="R83" s="127">
        <v>43778</v>
      </c>
      <c r="S83" s="124">
        <v>45</v>
      </c>
      <c r="T83" s="124">
        <v>5</v>
      </c>
      <c r="U83" s="73">
        <v>0</v>
      </c>
      <c r="V83" s="71">
        <v>1</v>
      </c>
      <c r="W83" s="129">
        <v>0</v>
      </c>
      <c r="X83" s="129">
        <v>0</v>
      </c>
      <c r="AA83" s="71">
        <v>0</v>
      </c>
    </row>
    <row r="84" spans="1:27">
      <c r="A84" s="122" t="s">
        <v>1192</v>
      </c>
      <c r="B84" s="122" t="s">
        <v>1343</v>
      </c>
      <c r="C84" s="122" t="s">
        <v>1157</v>
      </c>
      <c r="D84" s="122" t="s">
        <v>1365</v>
      </c>
      <c r="E84" s="122" t="s">
        <v>1327</v>
      </c>
      <c r="F84" s="122" t="s">
        <v>1331</v>
      </c>
      <c r="G84" s="122" t="s">
        <v>1343</v>
      </c>
      <c r="M84" s="122" t="s">
        <v>1344</v>
      </c>
      <c r="N84" s="122" t="s">
        <v>579</v>
      </c>
      <c r="O84" s="126">
        <v>43769</v>
      </c>
      <c r="P84" s="126">
        <v>43814</v>
      </c>
      <c r="Q84" s="126">
        <v>43779</v>
      </c>
      <c r="R84" s="127">
        <v>43785</v>
      </c>
      <c r="S84" s="124">
        <v>46</v>
      </c>
      <c r="T84" s="124">
        <v>5</v>
      </c>
      <c r="U84" s="73">
        <v>0</v>
      </c>
      <c r="V84" s="71">
        <v>1</v>
      </c>
      <c r="W84" s="129">
        <v>0</v>
      </c>
      <c r="X84" s="129">
        <v>0</v>
      </c>
      <c r="AA84" s="71">
        <v>0</v>
      </c>
    </row>
    <row r="85" spans="1:27">
      <c r="A85" s="122" t="s">
        <v>1192</v>
      </c>
      <c r="B85" s="122" t="s">
        <v>1343</v>
      </c>
      <c r="C85" s="122" t="s">
        <v>1157</v>
      </c>
      <c r="D85" s="122" t="s">
        <v>1365</v>
      </c>
      <c r="E85" s="122" t="s">
        <v>1327</v>
      </c>
      <c r="F85" s="122" t="s">
        <v>1331</v>
      </c>
      <c r="G85" s="122" t="s">
        <v>1343</v>
      </c>
      <c r="M85" s="122" t="s">
        <v>1344</v>
      </c>
      <c r="N85" s="122" t="s">
        <v>579</v>
      </c>
      <c r="O85" s="126">
        <v>43769</v>
      </c>
      <c r="P85" s="126">
        <v>43814</v>
      </c>
      <c r="Q85" s="126">
        <v>43786</v>
      </c>
      <c r="R85" s="127">
        <v>43792</v>
      </c>
      <c r="S85" s="124">
        <v>47</v>
      </c>
      <c r="T85" s="124">
        <v>5</v>
      </c>
      <c r="U85" s="73">
        <v>0</v>
      </c>
      <c r="V85" s="71">
        <v>1</v>
      </c>
      <c r="W85" s="129">
        <v>0</v>
      </c>
      <c r="X85" s="129">
        <v>0</v>
      </c>
      <c r="AA85" s="71">
        <v>0</v>
      </c>
    </row>
    <row r="86" spans="1:27">
      <c r="A86" s="122" t="s">
        <v>1192</v>
      </c>
      <c r="B86" s="122" t="s">
        <v>1343</v>
      </c>
      <c r="C86" s="122" t="s">
        <v>1157</v>
      </c>
      <c r="D86" s="122" t="s">
        <v>1365</v>
      </c>
      <c r="E86" s="122" t="s">
        <v>1327</v>
      </c>
      <c r="F86" s="122" t="s">
        <v>1331</v>
      </c>
      <c r="G86" s="122" t="s">
        <v>1343</v>
      </c>
      <c r="M86" s="122" t="s">
        <v>1344</v>
      </c>
      <c r="N86" s="122" t="s">
        <v>579</v>
      </c>
      <c r="O86" s="126">
        <v>43769</v>
      </c>
      <c r="P86" s="126">
        <v>43814</v>
      </c>
      <c r="Q86" s="126">
        <v>43793</v>
      </c>
      <c r="R86" s="127">
        <v>43799</v>
      </c>
      <c r="S86" s="124">
        <v>48</v>
      </c>
      <c r="T86" s="124">
        <v>5</v>
      </c>
      <c r="U86" s="73">
        <v>0</v>
      </c>
      <c r="V86" s="71">
        <v>1</v>
      </c>
      <c r="W86" s="129">
        <v>0</v>
      </c>
      <c r="X86" s="129">
        <v>0</v>
      </c>
      <c r="AA86" s="71">
        <v>0</v>
      </c>
    </row>
    <row r="87" spans="1:27">
      <c r="A87" s="122" t="s">
        <v>1192</v>
      </c>
      <c r="B87" s="122" t="s">
        <v>1343</v>
      </c>
      <c r="C87" s="122" t="s">
        <v>1157</v>
      </c>
      <c r="D87" s="122" t="s">
        <v>1365</v>
      </c>
      <c r="E87" s="122" t="s">
        <v>1327</v>
      </c>
      <c r="F87" s="122" t="s">
        <v>1331</v>
      </c>
      <c r="G87" s="122" t="s">
        <v>1343</v>
      </c>
      <c r="M87" s="122" t="s">
        <v>1344</v>
      </c>
      <c r="N87" s="122" t="s">
        <v>579</v>
      </c>
      <c r="O87" s="126">
        <v>43769</v>
      </c>
      <c r="P87" s="126">
        <v>43814</v>
      </c>
      <c r="Q87" s="126">
        <v>43800</v>
      </c>
      <c r="R87" s="127">
        <v>43806</v>
      </c>
      <c r="S87" s="124">
        <v>49</v>
      </c>
      <c r="T87" s="124">
        <v>5</v>
      </c>
      <c r="U87" s="73">
        <v>0</v>
      </c>
      <c r="V87" s="71">
        <v>1</v>
      </c>
      <c r="W87" s="129">
        <v>0</v>
      </c>
      <c r="X87" s="129">
        <v>0</v>
      </c>
      <c r="AA87" s="71">
        <v>0</v>
      </c>
    </row>
    <row r="88" spans="1:27">
      <c r="A88" s="122" t="s">
        <v>1192</v>
      </c>
      <c r="B88" s="122" t="s">
        <v>1343</v>
      </c>
      <c r="C88" s="122" t="s">
        <v>1157</v>
      </c>
      <c r="D88" s="122" t="s">
        <v>1365</v>
      </c>
      <c r="E88" s="122" t="s">
        <v>1327</v>
      </c>
      <c r="F88" s="122" t="s">
        <v>1331</v>
      </c>
      <c r="G88" s="122" t="s">
        <v>1343</v>
      </c>
      <c r="M88" s="122" t="s">
        <v>1344</v>
      </c>
      <c r="N88" s="122" t="s">
        <v>579</v>
      </c>
      <c r="O88" s="126">
        <v>43769</v>
      </c>
      <c r="P88" s="126">
        <v>43814</v>
      </c>
      <c r="Q88" s="126">
        <v>43807</v>
      </c>
      <c r="R88" s="127">
        <v>43813</v>
      </c>
      <c r="S88" s="124">
        <v>50</v>
      </c>
      <c r="T88" s="124">
        <v>5</v>
      </c>
      <c r="U88" s="73">
        <v>0</v>
      </c>
      <c r="V88" s="71">
        <v>1</v>
      </c>
      <c r="W88" s="129">
        <v>0</v>
      </c>
      <c r="X88" s="129">
        <v>0</v>
      </c>
      <c r="AA88" s="71">
        <v>0</v>
      </c>
    </row>
    <row r="89" spans="1:27">
      <c r="A89" s="122" t="s">
        <v>1192</v>
      </c>
      <c r="B89" s="122" t="s">
        <v>1343</v>
      </c>
      <c r="C89" s="122" t="s">
        <v>1157</v>
      </c>
      <c r="D89" s="122" t="s">
        <v>1365</v>
      </c>
      <c r="E89" s="122" t="s">
        <v>1327</v>
      </c>
      <c r="F89" s="122" t="s">
        <v>1331</v>
      </c>
      <c r="G89" s="122" t="s">
        <v>1343</v>
      </c>
      <c r="M89" s="122" t="s">
        <v>1344</v>
      </c>
      <c r="N89" s="122" t="s">
        <v>579</v>
      </c>
      <c r="O89" s="126">
        <v>43769</v>
      </c>
      <c r="P89" s="126">
        <v>43814</v>
      </c>
      <c r="Q89" s="126">
        <v>43814</v>
      </c>
      <c r="R89" s="127">
        <v>43820</v>
      </c>
      <c r="S89" s="124">
        <v>51</v>
      </c>
      <c r="T89" s="124">
        <v>0</v>
      </c>
      <c r="U89" s="73">
        <v>0</v>
      </c>
      <c r="V89" s="71">
        <v>1</v>
      </c>
      <c r="W89" s="129">
        <v>0</v>
      </c>
      <c r="X89" s="129">
        <v>0</v>
      </c>
      <c r="AA89" s="71">
        <v>0</v>
      </c>
    </row>
    <row r="90" spans="1:27">
      <c r="A90" s="122" t="s">
        <v>1175</v>
      </c>
      <c r="B90" s="122" t="s">
        <v>1346</v>
      </c>
      <c r="C90" s="122" t="s">
        <v>1157</v>
      </c>
      <c r="D90" s="122" t="s">
        <v>1365</v>
      </c>
      <c r="E90" s="122" t="s">
        <v>1345</v>
      </c>
      <c r="F90" s="122" t="s">
        <v>1346</v>
      </c>
      <c r="M90" s="122" t="s">
        <v>1347</v>
      </c>
      <c r="N90" s="122" t="s">
        <v>579</v>
      </c>
      <c r="O90" s="126">
        <v>43797</v>
      </c>
      <c r="P90" s="126">
        <v>43815</v>
      </c>
      <c r="Q90" s="126">
        <v>43793</v>
      </c>
      <c r="R90" s="127">
        <v>43799</v>
      </c>
      <c r="S90" s="124">
        <v>48</v>
      </c>
      <c r="T90" s="124">
        <v>2</v>
      </c>
      <c r="U90" s="73">
        <v>0</v>
      </c>
      <c r="V90" s="71">
        <v>1</v>
      </c>
      <c r="W90" s="129">
        <v>0</v>
      </c>
      <c r="X90" s="129">
        <v>0</v>
      </c>
      <c r="AA90" s="71">
        <v>0</v>
      </c>
    </row>
    <row r="91" spans="1:27">
      <c r="A91" s="122" t="s">
        <v>1175</v>
      </c>
      <c r="B91" s="122" t="s">
        <v>1346</v>
      </c>
      <c r="C91" s="122" t="s">
        <v>1157</v>
      </c>
      <c r="D91" s="122" t="s">
        <v>1365</v>
      </c>
      <c r="E91" s="122" t="s">
        <v>1345</v>
      </c>
      <c r="F91" s="122" t="s">
        <v>1346</v>
      </c>
      <c r="M91" s="122" t="s">
        <v>1347</v>
      </c>
      <c r="N91" s="122" t="s">
        <v>579</v>
      </c>
      <c r="O91" s="126">
        <v>43797</v>
      </c>
      <c r="P91" s="126">
        <v>43815</v>
      </c>
      <c r="Q91" s="126">
        <v>43800</v>
      </c>
      <c r="R91" s="127">
        <v>43806</v>
      </c>
      <c r="S91" s="124">
        <v>49</v>
      </c>
      <c r="T91" s="124">
        <v>5</v>
      </c>
      <c r="U91" s="73">
        <v>0</v>
      </c>
      <c r="V91" s="71">
        <v>1</v>
      </c>
      <c r="W91" s="129">
        <v>0</v>
      </c>
      <c r="X91" s="129">
        <v>0</v>
      </c>
      <c r="AA91" s="71">
        <v>0</v>
      </c>
    </row>
    <row r="92" spans="1:27">
      <c r="A92" s="122" t="s">
        <v>1175</v>
      </c>
      <c r="B92" s="122" t="s">
        <v>1346</v>
      </c>
      <c r="C92" s="122" t="s">
        <v>1157</v>
      </c>
      <c r="D92" s="122" t="s">
        <v>1365</v>
      </c>
      <c r="E92" s="122" t="s">
        <v>1345</v>
      </c>
      <c r="F92" s="122" t="s">
        <v>1346</v>
      </c>
      <c r="M92" s="122" t="s">
        <v>1347</v>
      </c>
      <c r="N92" s="122" t="s">
        <v>579</v>
      </c>
      <c r="O92" s="126">
        <v>43797</v>
      </c>
      <c r="P92" s="126">
        <v>43815</v>
      </c>
      <c r="Q92" s="126">
        <v>43807</v>
      </c>
      <c r="R92" s="127">
        <v>43813</v>
      </c>
      <c r="S92" s="124">
        <v>50</v>
      </c>
      <c r="T92" s="124">
        <v>5</v>
      </c>
      <c r="U92" s="73">
        <v>0</v>
      </c>
      <c r="V92" s="71">
        <v>1</v>
      </c>
      <c r="W92" s="129">
        <v>0</v>
      </c>
      <c r="X92" s="129">
        <v>0</v>
      </c>
      <c r="AA92" s="71">
        <v>0</v>
      </c>
    </row>
    <row r="93" spans="1:27">
      <c r="A93" s="122" t="s">
        <v>1175</v>
      </c>
      <c r="B93" s="122" t="s">
        <v>1346</v>
      </c>
      <c r="C93" s="122" t="s">
        <v>1157</v>
      </c>
      <c r="D93" s="122" t="s">
        <v>1365</v>
      </c>
      <c r="E93" s="122" t="s">
        <v>1345</v>
      </c>
      <c r="F93" s="122" t="s">
        <v>1346</v>
      </c>
      <c r="M93" s="122" t="s">
        <v>1347</v>
      </c>
      <c r="N93" s="122" t="s">
        <v>579</v>
      </c>
      <c r="O93" s="126">
        <v>43797</v>
      </c>
      <c r="P93" s="126">
        <v>43815</v>
      </c>
      <c r="Q93" s="126">
        <v>43814</v>
      </c>
      <c r="R93" s="127">
        <v>43820</v>
      </c>
      <c r="S93" s="124">
        <v>51</v>
      </c>
      <c r="T93" s="124">
        <v>1</v>
      </c>
      <c r="U93" s="73">
        <v>0</v>
      </c>
      <c r="V93" s="71">
        <v>1</v>
      </c>
      <c r="W93" s="129">
        <v>0</v>
      </c>
      <c r="X93" s="129">
        <v>0</v>
      </c>
      <c r="AA93" s="71">
        <v>0</v>
      </c>
    </row>
    <row r="94" spans="1:27">
      <c r="A94" s="122" t="s">
        <v>1175</v>
      </c>
      <c r="B94" s="122" t="s">
        <v>1348</v>
      </c>
      <c r="C94" s="122" t="s">
        <v>1157</v>
      </c>
      <c r="D94" s="122" t="s">
        <v>1365</v>
      </c>
      <c r="E94" s="122" t="s">
        <v>1345</v>
      </c>
      <c r="F94" s="122" t="s">
        <v>1348</v>
      </c>
      <c r="M94" s="122" t="s">
        <v>1349</v>
      </c>
      <c r="N94" s="122" t="s">
        <v>579</v>
      </c>
      <c r="O94" s="126">
        <v>43818</v>
      </c>
      <c r="P94" s="126">
        <v>43822</v>
      </c>
      <c r="Q94" s="126">
        <v>43814</v>
      </c>
      <c r="R94" s="127">
        <v>43820</v>
      </c>
      <c r="S94" s="124">
        <v>51</v>
      </c>
      <c r="T94" s="124">
        <v>2</v>
      </c>
      <c r="U94" s="73">
        <v>0</v>
      </c>
      <c r="V94" s="71">
        <v>1</v>
      </c>
      <c r="W94" s="129">
        <v>0</v>
      </c>
      <c r="X94" s="129">
        <v>0</v>
      </c>
      <c r="AA94" s="71">
        <v>0</v>
      </c>
    </row>
    <row r="95" spans="1:27">
      <c r="A95" s="122" t="s">
        <v>1175</v>
      </c>
      <c r="B95" s="122" t="s">
        <v>1348</v>
      </c>
      <c r="C95" s="122" t="s">
        <v>1157</v>
      </c>
      <c r="D95" s="122" t="s">
        <v>1365</v>
      </c>
      <c r="E95" s="122" t="s">
        <v>1345</v>
      </c>
      <c r="F95" s="122" t="s">
        <v>1348</v>
      </c>
      <c r="M95" s="122" t="s">
        <v>1349</v>
      </c>
      <c r="N95" s="122" t="s">
        <v>579</v>
      </c>
      <c r="O95" s="126">
        <v>43818</v>
      </c>
      <c r="P95" s="126">
        <v>43822</v>
      </c>
      <c r="Q95" s="126">
        <v>43821</v>
      </c>
      <c r="R95" s="127">
        <v>43827</v>
      </c>
      <c r="S95" s="124">
        <v>52</v>
      </c>
      <c r="T95" s="124">
        <v>1</v>
      </c>
      <c r="U95" s="73">
        <v>0</v>
      </c>
      <c r="V95" s="71">
        <v>1</v>
      </c>
      <c r="W95" s="129">
        <v>0</v>
      </c>
      <c r="X95" s="129">
        <v>0</v>
      </c>
      <c r="AA95" s="71">
        <v>0</v>
      </c>
    </row>
    <row r="96" spans="1:27">
      <c r="A96" s="122" t="s">
        <v>1175</v>
      </c>
      <c r="B96" s="122" t="s">
        <v>1352</v>
      </c>
      <c r="C96" s="122" t="s">
        <v>1157</v>
      </c>
      <c r="D96" s="122" t="s">
        <v>1366</v>
      </c>
      <c r="E96" s="122" t="s">
        <v>1351</v>
      </c>
      <c r="F96" s="122" t="s">
        <v>1352</v>
      </c>
      <c r="M96" s="122" t="s">
        <v>1353</v>
      </c>
      <c r="N96" s="122" t="s">
        <v>579</v>
      </c>
      <c r="O96" s="126">
        <v>43818</v>
      </c>
      <c r="P96" s="126">
        <v>43820</v>
      </c>
      <c r="Q96" s="126">
        <v>43814</v>
      </c>
      <c r="R96" s="127">
        <v>43820</v>
      </c>
      <c r="S96" s="124">
        <v>51</v>
      </c>
      <c r="T96" s="124">
        <v>2</v>
      </c>
      <c r="U96" s="73">
        <v>0</v>
      </c>
      <c r="V96" s="71">
        <v>1</v>
      </c>
      <c r="W96" s="129">
        <v>0</v>
      </c>
      <c r="X96" s="129">
        <v>0</v>
      </c>
      <c r="AA96" s="71">
        <v>0</v>
      </c>
    </row>
    <row r="97" spans="1:27">
      <c r="A97" s="122" t="s">
        <v>1175</v>
      </c>
      <c r="B97" s="122" t="s">
        <v>1355</v>
      </c>
      <c r="C97" s="122" t="s">
        <v>1157</v>
      </c>
      <c r="D97" s="122" t="s">
        <v>1366</v>
      </c>
      <c r="E97" s="122" t="s">
        <v>1354</v>
      </c>
      <c r="F97" s="122" t="s">
        <v>1355</v>
      </c>
      <c r="M97" s="122" t="s">
        <v>1356</v>
      </c>
      <c r="N97" s="122" t="s">
        <v>579</v>
      </c>
      <c r="O97" s="126">
        <v>43822</v>
      </c>
      <c r="P97" s="126">
        <v>43824</v>
      </c>
      <c r="Q97" s="126">
        <v>43821</v>
      </c>
      <c r="R97" s="127">
        <v>43827</v>
      </c>
      <c r="S97" s="124">
        <v>52</v>
      </c>
      <c r="T97" s="124">
        <v>2</v>
      </c>
      <c r="U97" s="73">
        <v>0</v>
      </c>
      <c r="V97" s="71">
        <v>1</v>
      </c>
      <c r="W97" s="129">
        <v>0</v>
      </c>
      <c r="X97" s="129">
        <v>0</v>
      </c>
      <c r="AA97" s="71">
        <v>0</v>
      </c>
    </row>
    <row r="98" spans="1:27">
      <c r="A98" s="122" t="s">
        <v>1175</v>
      </c>
      <c r="B98" s="122" t="s">
        <v>1357</v>
      </c>
      <c r="C98" s="122" t="s">
        <v>1157</v>
      </c>
      <c r="D98" s="122" t="s">
        <v>1366</v>
      </c>
      <c r="E98" s="122" t="s">
        <v>1354</v>
      </c>
      <c r="F98" s="122" t="s">
        <v>1357</v>
      </c>
      <c r="M98" s="122" t="s">
        <v>1358</v>
      </c>
      <c r="N98" s="122" t="s">
        <v>579</v>
      </c>
      <c r="O98" s="126">
        <v>43822</v>
      </c>
      <c r="P98" s="126">
        <v>43824</v>
      </c>
      <c r="Q98" s="126">
        <v>43821</v>
      </c>
      <c r="R98" s="127">
        <v>43827</v>
      </c>
      <c r="S98" s="124">
        <v>52</v>
      </c>
      <c r="T98" s="124">
        <v>2</v>
      </c>
      <c r="U98" s="73">
        <v>0</v>
      </c>
      <c r="V98" s="71">
        <v>1</v>
      </c>
      <c r="W98" s="129">
        <v>0</v>
      </c>
      <c r="X98" s="129">
        <v>0</v>
      </c>
      <c r="AA98" s="71">
        <v>0</v>
      </c>
    </row>
    <row r="99" spans="1:27">
      <c r="A99" s="122" t="s">
        <v>1175</v>
      </c>
      <c r="B99" s="122" t="s">
        <v>1359</v>
      </c>
      <c r="C99" s="122" t="s">
        <v>1157</v>
      </c>
      <c r="D99" s="122" t="s">
        <v>1366</v>
      </c>
      <c r="E99" s="122" t="s">
        <v>1354</v>
      </c>
      <c r="F99" s="122" t="s">
        <v>1359</v>
      </c>
      <c r="M99" s="122" t="s">
        <v>1360</v>
      </c>
      <c r="N99" s="122" t="s">
        <v>579</v>
      </c>
      <c r="O99" s="126">
        <v>43822</v>
      </c>
      <c r="P99" s="126">
        <v>43824</v>
      </c>
      <c r="Q99" s="126">
        <v>43821</v>
      </c>
      <c r="R99" s="127">
        <v>43827</v>
      </c>
      <c r="S99" s="124">
        <v>52</v>
      </c>
      <c r="T99" s="124">
        <v>2</v>
      </c>
      <c r="U99" s="73">
        <v>0</v>
      </c>
      <c r="V99" s="71">
        <v>1</v>
      </c>
      <c r="W99" s="129">
        <v>0</v>
      </c>
      <c r="X99" s="129">
        <v>0</v>
      </c>
      <c r="AA99" s="71">
        <v>0</v>
      </c>
    </row>
    <row r="100" spans="1:27">
      <c r="A100" s="122" t="s">
        <v>1175</v>
      </c>
      <c r="B100" s="122" t="s">
        <v>1361</v>
      </c>
      <c r="C100" s="122" t="s">
        <v>1157</v>
      </c>
      <c r="D100" s="122" t="s">
        <v>1366</v>
      </c>
      <c r="E100" s="122" t="s">
        <v>1354</v>
      </c>
      <c r="F100" s="122" t="s">
        <v>1361</v>
      </c>
      <c r="M100" s="122" t="s">
        <v>1362</v>
      </c>
      <c r="N100" s="122" t="s">
        <v>579</v>
      </c>
      <c r="O100" s="126">
        <v>43825</v>
      </c>
      <c r="P100" s="126">
        <v>43825</v>
      </c>
      <c r="Q100" s="126">
        <v>43821</v>
      </c>
      <c r="R100" s="127">
        <v>43827</v>
      </c>
      <c r="S100" s="124">
        <v>52</v>
      </c>
      <c r="T100" s="124">
        <v>1</v>
      </c>
      <c r="U100" s="73">
        <v>0</v>
      </c>
      <c r="V100" s="71">
        <v>1</v>
      </c>
      <c r="W100" s="129">
        <v>0</v>
      </c>
      <c r="X100" s="129">
        <v>0</v>
      </c>
      <c r="AA100" s="71">
        <v>0</v>
      </c>
    </row>
  </sheetData>
  <phoneticPr fontId="2" type="noConversion"/>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Y17"/>
  <sheetViews>
    <sheetView zoomScale="85" zoomScaleNormal="85" workbookViewId="0">
      <selection activeCell="D22" sqref="D22"/>
    </sheetView>
  </sheetViews>
  <sheetFormatPr defaultRowHeight="17.399999999999999"/>
  <cols>
    <col min="1" max="1" width="16" customWidth="1"/>
    <col min="2" max="2" width="19" bestFit="1" customWidth="1"/>
    <col min="3" max="3" width="23" bestFit="1" customWidth="1"/>
    <col min="4" max="4" width="14.19921875" bestFit="1" customWidth="1"/>
    <col min="5" max="5" width="9.3984375" bestFit="1" customWidth="1"/>
    <col min="6" max="6" width="5.69921875" bestFit="1" customWidth="1"/>
    <col min="7" max="7" width="17.8984375" bestFit="1" customWidth="1"/>
    <col min="8" max="8" width="5.19921875" bestFit="1" customWidth="1"/>
    <col min="9" max="10" width="11.59765625" style="100" bestFit="1" customWidth="1"/>
    <col min="11" max="11" width="24.8984375" style="100" bestFit="1" customWidth="1"/>
    <col min="12" max="12" width="9.09765625" bestFit="1" customWidth="1"/>
    <col min="14" max="14" width="11" bestFit="1" customWidth="1"/>
    <col min="15" max="15" width="7.09765625" bestFit="1" customWidth="1"/>
    <col min="17" max="18" width="11" bestFit="1" customWidth="1"/>
    <col min="19" max="19" width="13" bestFit="1" customWidth="1"/>
    <col min="20" max="20" width="11" bestFit="1" customWidth="1"/>
    <col min="21" max="21" width="7.09765625" bestFit="1" customWidth="1"/>
    <col min="22" max="22" width="13.5" bestFit="1" customWidth="1"/>
    <col min="23" max="23" width="7.09765625" bestFit="1" customWidth="1"/>
    <col min="24" max="25" width="11" bestFit="1" customWidth="1"/>
  </cols>
  <sheetData>
    <row r="1" spans="1:25">
      <c r="A1" s="320" t="s">
        <v>1008</v>
      </c>
      <c r="B1" s="320" t="s">
        <v>1528</v>
      </c>
      <c r="C1" s="320" t="s">
        <v>1009</v>
      </c>
      <c r="D1" s="320" t="s">
        <v>1010</v>
      </c>
      <c r="E1" s="320" t="s">
        <v>1007</v>
      </c>
      <c r="F1" s="320" t="s">
        <v>346</v>
      </c>
      <c r="G1" s="320" t="s">
        <v>598</v>
      </c>
      <c r="H1" s="320" t="s">
        <v>540</v>
      </c>
      <c r="I1" s="321" t="s">
        <v>577</v>
      </c>
      <c r="J1" s="321" t="s">
        <v>578</v>
      </c>
      <c r="K1" s="321" t="s">
        <v>1529</v>
      </c>
      <c r="L1" s="320" t="s">
        <v>127</v>
      </c>
      <c r="M1" s="320" t="s">
        <v>599</v>
      </c>
      <c r="N1" s="320" t="s">
        <v>600</v>
      </c>
      <c r="O1" s="320" t="s">
        <v>601</v>
      </c>
      <c r="P1" s="320" t="s">
        <v>602</v>
      </c>
      <c r="Q1" s="320" t="s">
        <v>603</v>
      </c>
      <c r="R1" s="320" t="s">
        <v>604</v>
      </c>
      <c r="S1" s="320" t="s">
        <v>605</v>
      </c>
      <c r="T1" s="320" t="s">
        <v>606</v>
      </c>
      <c r="U1" s="320" t="s">
        <v>541</v>
      </c>
      <c r="V1" s="320" t="s">
        <v>542</v>
      </c>
      <c r="W1" s="320" t="s">
        <v>543</v>
      </c>
      <c r="X1" s="320" t="s">
        <v>804</v>
      </c>
      <c r="Y1" s="320" t="s">
        <v>631</v>
      </c>
    </row>
    <row r="2" spans="1:25">
      <c r="A2" s="314"/>
      <c r="B2" s="314" t="s">
        <v>1530</v>
      </c>
      <c r="C2" s="314" t="s">
        <v>1531</v>
      </c>
      <c r="D2" s="314" t="s">
        <v>1058</v>
      </c>
      <c r="E2" s="314">
        <v>1</v>
      </c>
      <c r="F2" s="314" t="s">
        <v>1058</v>
      </c>
      <c r="G2" s="314" t="s">
        <v>1204</v>
      </c>
      <c r="H2" s="314"/>
      <c r="I2" s="315">
        <v>43724</v>
      </c>
      <c r="J2" s="315">
        <v>43791</v>
      </c>
      <c r="K2" s="314"/>
      <c r="L2" s="314"/>
      <c r="M2" s="314"/>
      <c r="N2" s="314"/>
      <c r="O2" s="314"/>
      <c r="P2" s="314"/>
      <c r="Q2" s="314"/>
      <c r="R2" s="314"/>
      <c r="S2" s="314"/>
      <c r="T2" s="314"/>
      <c r="U2" s="314"/>
      <c r="V2" s="314"/>
      <c r="W2" s="314"/>
      <c r="X2" s="314">
        <v>0</v>
      </c>
      <c r="Y2" s="314">
        <v>0</v>
      </c>
    </row>
    <row r="3" spans="1:25">
      <c r="A3" s="314"/>
      <c r="B3" s="315">
        <v>43709</v>
      </c>
      <c r="C3" s="314" t="s">
        <v>1532</v>
      </c>
      <c r="D3" s="314" t="s">
        <v>1157</v>
      </c>
      <c r="E3" s="314">
        <v>2</v>
      </c>
      <c r="F3" s="314" t="s">
        <v>1167</v>
      </c>
      <c r="G3" s="314" t="s">
        <v>682</v>
      </c>
      <c r="H3" s="314"/>
      <c r="I3" s="315">
        <v>43724</v>
      </c>
      <c r="J3" s="315">
        <v>43728</v>
      </c>
      <c r="K3" s="314"/>
      <c r="L3" s="314"/>
      <c r="M3" s="314"/>
      <c r="N3" s="314"/>
      <c r="O3" s="314"/>
      <c r="P3" s="314"/>
      <c r="Q3" s="314"/>
      <c r="R3" s="314"/>
      <c r="S3" s="314"/>
      <c r="T3" s="314"/>
      <c r="U3" s="314"/>
      <c r="V3" s="314"/>
      <c r="W3" s="314"/>
      <c r="X3" s="314">
        <v>0</v>
      </c>
      <c r="Y3" s="314">
        <v>0</v>
      </c>
    </row>
    <row r="4" spans="1:25">
      <c r="A4" s="314"/>
      <c r="B4" s="315">
        <v>43799</v>
      </c>
      <c r="C4" s="314" t="s">
        <v>1533</v>
      </c>
      <c r="D4" s="314" t="s">
        <v>1174</v>
      </c>
      <c r="E4" s="314">
        <v>3</v>
      </c>
      <c r="F4" s="314" t="s">
        <v>1168</v>
      </c>
      <c r="G4" s="314" t="s">
        <v>1205</v>
      </c>
      <c r="H4" s="314"/>
      <c r="I4" s="315">
        <v>43724</v>
      </c>
      <c r="J4" s="315">
        <v>43727</v>
      </c>
      <c r="K4" s="314"/>
      <c r="L4" s="314"/>
      <c r="M4" s="314"/>
      <c r="N4" s="314"/>
      <c r="O4" s="314"/>
      <c r="P4" s="314"/>
      <c r="Q4" s="314"/>
      <c r="R4" s="314"/>
      <c r="S4" s="314"/>
      <c r="T4" s="314"/>
      <c r="U4" s="314"/>
      <c r="V4" s="314" t="s">
        <v>1257</v>
      </c>
      <c r="W4" s="314"/>
      <c r="X4" s="316">
        <v>1</v>
      </c>
      <c r="Y4" s="316">
        <v>1</v>
      </c>
    </row>
    <row r="5" spans="1:25">
      <c r="A5" s="314"/>
      <c r="B5" s="316">
        <v>0.45</v>
      </c>
      <c r="C5" s="314" t="s">
        <v>1534</v>
      </c>
      <c r="D5" s="314" t="s">
        <v>1175</v>
      </c>
      <c r="E5" s="314">
        <v>3</v>
      </c>
      <c r="F5" s="314" t="s">
        <v>1169</v>
      </c>
      <c r="G5" s="314" t="s">
        <v>1206</v>
      </c>
      <c r="H5" s="314"/>
      <c r="I5" s="315">
        <v>43728</v>
      </c>
      <c r="J5" s="315">
        <v>43728</v>
      </c>
      <c r="K5" s="315" t="s">
        <v>1535</v>
      </c>
      <c r="L5" s="314"/>
      <c r="M5" s="314"/>
      <c r="N5" s="314"/>
      <c r="O5" s="314"/>
      <c r="P5" s="314"/>
      <c r="Q5" s="315"/>
      <c r="R5" s="314"/>
      <c r="S5" s="314"/>
      <c r="T5" s="314"/>
      <c r="U5" s="314"/>
      <c r="V5" s="314"/>
      <c r="W5" s="314"/>
      <c r="X5" s="316">
        <v>1</v>
      </c>
      <c r="Y5" s="316">
        <v>1</v>
      </c>
    </row>
    <row r="6" spans="1:25">
      <c r="A6" s="314"/>
      <c r="B6" s="317">
        <v>0.43330000000000002</v>
      </c>
      <c r="C6" s="314" t="s">
        <v>1536</v>
      </c>
      <c r="D6" s="314" t="s">
        <v>1192</v>
      </c>
      <c r="E6" s="314">
        <v>3</v>
      </c>
      <c r="F6" s="314" t="s">
        <v>1217</v>
      </c>
      <c r="G6" s="314" t="s">
        <v>1207</v>
      </c>
      <c r="H6" s="314"/>
      <c r="I6" s="315">
        <v>43724</v>
      </c>
      <c r="J6" s="315">
        <v>43726</v>
      </c>
      <c r="K6" s="314"/>
      <c r="L6" s="314"/>
      <c r="M6" s="314"/>
      <c r="N6" s="314"/>
      <c r="O6" s="314"/>
      <c r="P6" s="314"/>
      <c r="Q6" s="314"/>
      <c r="R6" s="314"/>
      <c r="S6" s="314"/>
      <c r="T6" s="314"/>
      <c r="U6" s="314"/>
      <c r="V6" s="314" t="s">
        <v>1258</v>
      </c>
      <c r="W6" s="314"/>
      <c r="X6" s="314">
        <v>0</v>
      </c>
      <c r="Y6" s="314">
        <v>0</v>
      </c>
    </row>
    <row r="7" spans="1:25">
      <c r="A7" s="314"/>
      <c r="B7" s="314"/>
      <c r="C7" s="314" t="s">
        <v>1537</v>
      </c>
      <c r="D7" s="314" t="s">
        <v>1193</v>
      </c>
      <c r="E7" s="314">
        <v>3</v>
      </c>
      <c r="F7" s="314" t="s">
        <v>1218</v>
      </c>
      <c r="G7" s="314" t="s">
        <v>1208</v>
      </c>
      <c r="H7" s="314"/>
      <c r="I7" s="315">
        <v>43727</v>
      </c>
      <c r="J7" s="315">
        <v>43728</v>
      </c>
      <c r="K7" s="314"/>
      <c r="L7" s="314"/>
      <c r="M7" s="314"/>
      <c r="N7" s="314"/>
      <c r="O7" s="314"/>
      <c r="P7" s="314"/>
      <c r="Q7" s="314"/>
      <c r="R7" s="314"/>
      <c r="S7" s="314"/>
      <c r="T7" s="314"/>
      <c r="U7" s="314"/>
      <c r="V7" s="314" t="s">
        <v>1258</v>
      </c>
      <c r="W7" s="314"/>
      <c r="X7" s="314">
        <v>0</v>
      </c>
      <c r="Y7" s="314">
        <v>0</v>
      </c>
    </row>
    <row r="8" spans="1:25">
      <c r="A8" s="314"/>
      <c r="B8" s="314"/>
      <c r="C8" s="314" t="s">
        <v>1538</v>
      </c>
      <c r="D8" s="314" t="s">
        <v>1194</v>
      </c>
      <c r="E8" s="314">
        <v>2</v>
      </c>
      <c r="F8" s="314" t="s">
        <v>1170</v>
      </c>
      <c r="G8" s="314" t="s">
        <v>1006</v>
      </c>
      <c r="H8" s="314"/>
      <c r="I8" s="315">
        <v>43731</v>
      </c>
      <c r="J8" s="315">
        <v>43749</v>
      </c>
      <c r="K8" s="314"/>
      <c r="L8" s="314"/>
      <c r="M8" s="314"/>
      <c r="N8" s="314"/>
      <c r="O8" s="314"/>
      <c r="P8" s="314"/>
      <c r="Q8" s="314"/>
      <c r="R8" s="314"/>
      <c r="S8" s="314"/>
      <c r="T8" s="314"/>
      <c r="U8" s="314"/>
      <c r="V8" s="314"/>
      <c r="W8" s="314"/>
      <c r="X8" s="314">
        <v>0</v>
      </c>
      <c r="Y8" s="314">
        <v>0</v>
      </c>
    </row>
    <row r="9" spans="1:25">
      <c r="A9" s="314"/>
      <c r="B9" s="314"/>
      <c r="C9" s="314" t="s">
        <v>1539</v>
      </c>
      <c r="D9" s="314" t="s">
        <v>1195</v>
      </c>
      <c r="E9" s="314">
        <v>3</v>
      </c>
      <c r="F9" s="314" t="s">
        <v>1171</v>
      </c>
      <c r="G9" s="314" t="s">
        <v>1209</v>
      </c>
      <c r="H9" s="314"/>
      <c r="I9" s="315">
        <v>43731</v>
      </c>
      <c r="J9" s="315">
        <v>43735</v>
      </c>
      <c r="K9" s="314"/>
      <c r="L9" s="314"/>
      <c r="M9" s="314"/>
      <c r="N9" s="314"/>
      <c r="O9" s="314"/>
      <c r="P9" s="314"/>
      <c r="Q9" s="314"/>
      <c r="R9" s="314"/>
      <c r="S9" s="314"/>
      <c r="T9" s="314"/>
      <c r="U9" s="314"/>
      <c r="V9" s="314" t="s">
        <v>1259</v>
      </c>
      <c r="W9" s="314"/>
      <c r="X9" s="314">
        <v>0</v>
      </c>
      <c r="Y9" s="314">
        <v>0</v>
      </c>
    </row>
    <row r="10" spans="1:25">
      <c r="A10" s="314"/>
      <c r="B10" s="314"/>
      <c r="C10" s="314" t="s">
        <v>1540</v>
      </c>
      <c r="D10" s="314" t="s">
        <v>1196</v>
      </c>
      <c r="E10" s="314">
        <v>3</v>
      </c>
      <c r="F10" s="314" t="s">
        <v>1219</v>
      </c>
      <c r="G10" s="314" t="s">
        <v>1210</v>
      </c>
      <c r="H10" s="314"/>
      <c r="I10" s="315">
        <v>43738</v>
      </c>
      <c r="J10" s="315">
        <v>43749</v>
      </c>
      <c r="K10" s="314"/>
      <c r="L10" s="314"/>
      <c r="M10" s="314"/>
      <c r="N10" s="314"/>
      <c r="O10" s="314"/>
      <c r="P10" s="314"/>
      <c r="Q10" s="314"/>
      <c r="R10" s="314"/>
      <c r="S10" s="314"/>
      <c r="T10" s="314"/>
      <c r="U10" s="314"/>
      <c r="V10" s="314" t="s">
        <v>1259</v>
      </c>
      <c r="W10" s="314"/>
      <c r="X10" s="314">
        <v>0</v>
      </c>
      <c r="Y10" s="314">
        <v>0</v>
      </c>
    </row>
    <row r="11" spans="1:25">
      <c r="A11" s="314"/>
      <c r="B11" s="314"/>
      <c r="C11" s="314"/>
      <c r="D11" s="314" t="s">
        <v>1197</v>
      </c>
      <c r="E11" s="314">
        <v>2</v>
      </c>
      <c r="F11" s="314" t="s">
        <v>1172</v>
      </c>
      <c r="G11" s="314" t="s">
        <v>1211</v>
      </c>
      <c r="H11" s="314"/>
      <c r="I11" s="315">
        <v>43752</v>
      </c>
      <c r="J11" s="315">
        <v>43777</v>
      </c>
      <c r="K11" s="314"/>
      <c r="L11" s="314"/>
      <c r="M11" s="314"/>
      <c r="N11" s="314"/>
      <c r="O11" s="314"/>
      <c r="P11" s="314"/>
      <c r="Q11" s="314"/>
      <c r="R11" s="314"/>
      <c r="S11" s="314"/>
      <c r="T11" s="314"/>
      <c r="U11" s="314"/>
      <c r="V11" s="314"/>
      <c r="W11" s="314"/>
      <c r="X11" s="314">
        <v>0</v>
      </c>
      <c r="Y11" s="314">
        <v>0</v>
      </c>
    </row>
    <row r="12" spans="1:25">
      <c r="A12" s="314"/>
      <c r="B12" s="314"/>
      <c r="C12" s="314"/>
      <c r="D12" s="314" t="s">
        <v>1198</v>
      </c>
      <c r="E12" s="314">
        <v>3</v>
      </c>
      <c r="F12" s="314" t="s">
        <v>1173</v>
      </c>
      <c r="G12" s="314" t="s">
        <v>1212</v>
      </c>
      <c r="H12" s="314"/>
      <c r="I12" s="315">
        <v>43752</v>
      </c>
      <c r="J12" s="315">
        <v>43770</v>
      </c>
      <c r="K12" s="314"/>
      <c r="L12" s="314"/>
      <c r="M12" s="314"/>
      <c r="N12" s="314"/>
      <c r="O12" s="314"/>
      <c r="P12" s="314"/>
      <c r="Q12" s="314"/>
      <c r="R12" s="314"/>
      <c r="S12" s="314"/>
      <c r="T12" s="314"/>
      <c r="U12" s="314"/>
      <c r="V12" s="314"/>
      <c r="W12" s="314"/>
      <c r="X12" s="314">
        <v>0</v>
      </c>
      <c r="Y12" s="314">
        <v>0</v>
      </c>
    </row>
    <row r="13" spans="1:25">
      <c r="A13" s="314"/>
      <c r="B13" s="314"/>
      <c r="C13" s="314"/>
      <c r="D13" s="314" t="s">
        <v>1199</v>
      </c>
      <c r="E13" s="314">
        <v>3</v>
      </c>
      <c r="F13" s="314" t="s">
        <v>1220</v>
      </c>
      <c r="G13" s="314" t="s">
        <v>1213</v>
      </c>
      <c r="H13" s="314"/>
      <c r="I13" s="315">
        <v>43773</v>
      </c>
      <c r="J13" s="315">
        <v>43777</v>
      </c>
      <c r="K13" s="314"/>
      <c r="L13" s="314"/>
      <c r="M13" s="314"/>
      <c r="N13" s="314"/>
      <c r="O13" s="314"/>
      <c r="P13" s="314"/>
      <c r="Q13" s="314"/>
      <c r="R13" s="314"/>
      <c r="S13" s="314"/>
      <c r="T13" s="314"/>
      <c r="U13" s="314"/>
      <c r="V13" s="314" t="s">
        <v>1260</v>
      </c>
      <c r="W13" s="314"/>
      <c r="X13" s="314">
        <v>0</v>
      </c>
      <c r="Y13" s="314">
        <v>0</v>
      </c>
    </row>
    <row r="14" spans="1:25">
      <c r="A14" s="314"/>
      <c r="B14" s="314"/>
      <c r="C14" s="314"/>
      <c r="D14" s="314" t="s">
        <v>1200</v>
      </c>
      <c r="E14" s="314">
        <v>2</v>
      </c>
      <c r="F14" s="314" t="s">
        <v>1221</v>
      </c>
      <c r="G14" s="314" t="s">
        <v>1214</v>
      </c>
      <c r="H14" s="314"/>
      <c r="I14" s="315">
        <v>43780</v>
      </c>
      <c r="J14" s="315">
        <v>43791</v>
      </c>
      <c r="K14" s="314"/>
      <c r="L14" s="314"/>
      <c r="M14" s="314"/>
      <c r="N14" s="314"/>
      <c r="O14" s="314"/>
      <c r="P14" s="314"/>
      <c r="Q14" s="314"/>
      <c r="R14" s="314"/>
      <c r="S14" s="314"/>
      <c r="T14" s="314"/>
      <c r="U14" s="314"/>
      <c r="V14" s="314"/>
      <c r="W14" s="314"/>
      <c r="X14" s="314">
        <v>0</v>
      </c>
      <c r="Y14" s="314">
        <v>0</v>
      </c>
    </row>
    <row r="15" spans="1:25">
      <c r="A15" s="314"/>
      <c r="B15" s="314"/>
      <c r="C15" s="314"/>
      <c r="D15" s="314" t="s">
        <v>1201</v>
      </c>
      <c r="E15" s="314">
        <v>3</v>
      </c>
      <c r="F15" s="314" t="s">
        <v>1222</v>
      </c>
      <c r="G15" s="314" t="s">
        <v>1215</v>
      </c>
      <c r="H15" s="314"/>
      <c r="I15" s="315">
        <v>43780</v>
      </c>
      <c r="J15" s="315">
        <v>43784</v>
      </c>
      <c r="K15" s="314"/>
      <c r="L15" s="314"/>
      <c r="M15" s="314"/>
      <c r="N15" s="314"/>
      <c r="O15" s="314"/>
      <c r="P15" s="314"/>
      <c r="Q15" s="314"/>
      <c r="R15" s="314"/>
      <c r="S15" s="314"/>
      <c r="T15" s="314"/>
      <c r="U15" s="314"/>
      <c r="V15" s="314" t="s">
        <v>1261</v>
      </c>
      <c r="W15" s="314"/>
      <c r="X15" s="314">
        <v>0</v>
      </c>
      <c r="Y15" s="314">
        <v>0</v>
      </c>
    </row>
    <row r="16" spans="1:25">
      <c r="A16" s="314"/>
      <c r="B16" s="314"/>
      <c r="C16" s="314"/>
      <c r="D16" s="314" t="s">
        <v>1202</v>
      </c>
      <c r="E16" s="314">
        <v>3</v>
      </c>
      <c r="F16" s="314" t="s">
        <v>1223</v>
      </c>
      <c r="G16" s="314" t="s">
        <v>1216</v>
      </c>
      <c r="H16" s="314"/>
      <c r="I16" s="315">
        <v>43787</v>
      </c>
      <c r="J16" s="315">
        <v>43789</v>
      </c>
      <c r="K16" s="315" t="s">
        <v>1541</v>
      </c>
      <c r="L16" s="314"/>
      <c r="M16" s="314"/>
      <c r="N16" s="314"/>
      <c r="O16" s="314"/>
      <c r="P16" s="314"/>
      <c r="Q16" s="314"/>
      <c r="R16" s="314"/>
      <c r="S16" s="314"/>
      <c r="T16" s="314"/>
      <c r="U16" s="314"/>
      <c r="V16" s="314" t="s">
        <v>771</v>
      </c>
      <c r="W16" s="314"/>
      <c r="X16" s="314">
        <v>0</v>
      </c>
      <c r="Y16" s="314">
        <v>0</v>
      </c>
    </row>
    <row r="17" spans="4:25">
      <c r="D17" s="314" t="s">
        <v>1203</v>
      </c>
      <c r="E17" s="314">
        <v>3</v>
      </c>
      <c r="F17" s="314" t="s">
        <v>1224</v>
      </c>
      <c r="G17" s="314" t="s">
        <v>1542</v>
      </c>
      <c r="H17" s="314"/>
      <c r="I17" s="315">
        <v>43790</v>
      </c>
      <c r="J17" s="315">
        <v>43791</v>
      </c>
      <c r="K17" s="314"/>
      <c r="L17" s="314"/>
      <c r="M17" s="314"/>
      <c r="N17" s="314"/>
      <c r="O17" s="314"/>
      <c r="P17" s="314"/>
      <c r="Q17" s="314"/>
      <c r="R17" s="314"/>
      <c r="S17" s="314"/>
      <c r="T17" s="314"/>
      <c r="U17" s="314"/>
      <c r="V17" s="314" t="s">
        <v>1262</v>
      </c>
      <c r="W17" s="314"/>
      <c r="X17" s="314">
        <v>0</v>
      </c>
      <c r="Y17" s="314">
        <v>0</v>
      </c>
    </row>
  </sheetData>
  <phoneticPr fontId="2" type="noConversion"/>
  <conditionalFormatting sqref="I3:J3">
    <cfRule type="expression" dxfId="7" priority="1">
      <formula>($AE3=1)</formula>
    </cfRule>
    <cfRule type="expression" dxfId="6" priority="2">
      <formula>($B3="G")</formula>
    </cfRule>
  </conditionalFormatting>
  <conditionalFormatting sqref="I10:J10">
    <cfRule type="expression" dxfId="5" priority="3">
      <formula>($AE10=1)</formula>
    </cfRule>
    <cfRule type="expression" dxfId="4" priority="4">
      <formula>($B10="G")</formula>
    </cfRule>
  </conditionalFormatting>
  <pageMargins left="0.7" right="0.7" top="0.75" bottom="0.75" header="0.3" footer="0.3"/>
  <pageSetup paperSize="9" orientation="portrait" horizontalDpi="300" verticalDpi="300" r:id="rId1"/>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insertBeforeMso="TabHome">
        <!--tab idMso="TabHome" -->
        <group id="scheduling" label="Scheduling">
          <button id="cbtnCalcWBSbyArray" getLabel="xlgantt_ribbon_getlabel" size="large" onAction="calcWBSbyArrayFromRibbon" imageMso="DataRefreshDialog"/>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group>
        <group id="analysis" getLabel="xlgantt_ribbon_getlabel">
          <button id="cbtnCallMakeReportProgressByResource" getLabel="xlgantt_ribbon_getlabel" size="large" onAction="callMakeReportProgressByResource" imageMso="MailMergeSelectRecipients"/>
          <menu id="dropDownMenuWorkload" getLabel="xlgantt_ribbon_getlabel" size="large" imageMso="ChartTypeBarInsertGallery">
            <button id="cbtnCallMakeReportWorkloadWeeklyFromRibbon" getLabel="xlgantt_ribbon_getlabel" onAction="callMakeReportWorkloadWeeklyFromRibbon" imageMso="W"/>
            <button id="cbtnCallMakeReportWorkloadMonthlyFromRibbon" getLabel="xlgantt_ribbon_getlabel" onAction="callMakeReportWorkloadMonthlyFromRibbon" imageMso="M"/>
            <button id="cbtnCallMakeReportWorkloadByResourceFromRibbon" getLabel="xlgantt_ribbon_getlabel" onAction="callMakeReportWorkloadByResourceFromRibbon" imageMso="R"/>
          </menu>
          <menu id="dropDownMenuProgress" getLabel="xlgantt_ribbon_getlabel" size="large" imageMso="ChartTypeLineInsertGallery">
            <button id="cbtnCallMakeReportProgressWeekFromRibbon" getLabel="xlgantt_ribbon_getlabel" onAction="callMakeReportProgressWeekFromRibbon" imageMso="W"/>
            <button id="cbtnCallMakeReportProgressMonthFromRibbon" getLabel="xlgantt_ribbon_getlabel" onAction="callMakeReportProgressMonthFromRibbon" imageMso="M"/>
          </menu>
          <menu id="dropDownMenuMakeWorkloadData" getLabel="xlgantt_ribbon_getlabel" size="large" imageMso="CatalogMergeMoreRowsColumns">
            <button id="cbtnCallMakeWorkloadDataWeekFromRibbon" getLabel="xlgantt_ribbon_getlabel" onAction="callMakeWorkloadDataWeekFromRibbon" imageMso="W"/>
            <button id="cbtnCallMakeWorkloadDataMonthFromRibbon" getLabel="xlgantt_ribbon_getlabel" onAction="callMakeWorkloadDataMonthFromRibbon" imageMso="M"/>
          </menu>
        </group>
        <group id="settings" getLabel="xlgantt_ribbon_getlabel">
          <button id="cbtnCallSettingBasicInfoFromRibbon" getLabel="xlgantt_ribbon_getlabel" size="large" onAction="callSettingBasicInfoFromRibbon" imageMso="AddInManager"/>
          <!--button id="cbtnCallSettingCalendarFromRibbon" getLabel="xlgantt_ribbon_getlabel" size="large" onAction="callSettingCalendarFromRibbon" imageMso="ViewAllProposals"/-->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ExportSharePointList"/>
          <button id="cbtnCallImportServerDataFromRibbon" getLabel="xlgantt_ribbon_getlabel" size="large" onAction="callImportServerDataFromRibbon" imageMso="GetExternalDataFromWeb"/>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8</vt:i4>
      </vt:variant>
      <vt:variant>
        <vt:lpstr>이름이 지정된 범위</vt:lpstr>
      </vt:variant>
      <vt:variant>
        <vt:i4>34</vt:i4>
      </vt:variant>
    </vt:vector>
  </HeadingPairs>
  <TitlesOfParts>
    <vt:vector size="42" baseType="lpstr">
      <vt:lpstr>Help</vt:lpstr>
      <vt:lpstr>Schedule</vt:lpstr>
      <vt:lpstr>Progress</vt:lpstr>
      <vt:lpstr>AnalysisReport</vt:lpstr>
      <vt:lpstr>Calendar</vt:lpstr>
      <vt:lpstr>TranslatedLanguages</vt:lpstr>
      <vt:lpstr>Workload</vt:lpstr>
      <vt:lpstr>ServerData</vt:lpstr>
      <vt:lpstr>ACTUAL_RATE</vt:lpstr>
      <vt:lpstr>ACTUAL_WORKLOAD</vt:lpstr>
      <vt:lpstr>ACTUAL_WORKLOAD2</vt:lpstr>
      <vt:lpstr>English_Name</vt:lpstr>
      <vt:lpstr>PLANNED_RATE</vt:lpstr>
      <vt:lpstr>PLANNED_WORKLOAD</vt:lpstr>
      <vt:lpstr>Schedule!Print_Area</vt:lpstr>
      <vt:lpstr>RATE_GAP</vt:lpstr>
      <vt:lpstr>RNG_ACTUAL_END_DATE_COL_NAME</vt:lpstr>
      <vt:lpstr>RNG_ACTUAL_RATE_COL_NAME</vt:lpstr>
      <vt:lpstr>RNG_ACTUAL_START_DATE_COL_NAME</vt:lpstr>
      <vt:lpstr>RNG_ACTUAL_TOTAL_DURATION_COL_NAME</vt:lpstr>
      <vt:lpstr>RNG_ACTUAL_TOTAL_WORKLOAD_COL_NAME</vt:lpstr>
      <vt:lpstr>RNG_CALENDAR_COL_NAME</vt:lpstr>
      <vt:lpstr>RNG_DELIVERABLES_COL_NAME</vt:lpstr>
      <vt:lpstr>RNG_END_DATE_COL_NAME</vt:lpstr>
      <vt:lpstr>RNG_ETC_COL_NAME</vt:lpstr>
      <vt:lpstr>RNG_GANTT_AREA_FIRST_COL_NAME</vt:lpstr>
      <vt:lpstr>RNG_PLAN_DURATION_COL_NAME</vt:lpstr>
      <vt:lpstr>RNG_PLAN_RATE_COL_NAME</vt:lpstr>
      <vt:lpstr>RNG_PLAN_WORKLOAD_COL_NAME</vt:lpstr>
      <vt:lpstr>RNG_RESOURCE_COL_NAME</vt:lpstr>
      <vt:lpstr>RNG_RESOURCE_WEIGHT_COL_NAME</vt:lpstr>
      <vt:lpstr>RNG_START_DATE_COL_NAME</vt:lpstr>
      <vt:lpstr>RNG_TASK_FIRST_COL_NAME</vt:lpstr>
      <vt:lpstr>RNG_TOTAL_DURATION_COL_NAME</vt:lpstr>
      <vt:lpstr>RNG_TOTAL_WORKLOAD_COL_NAME</vt:lpstr>
      <vt:lpstr>RNG_WBS_AREA_LAST_COL_NAME</vt:lpstr>
      <vt:lpstr>RNG_WBS_COL_NAME</vt:lpstr>
      <vt:lpstr>RNG_WBS_LEVEL_COL_NAME</vt:lpstr>
      <vt:lpstr>STD_CAL</vt:lpstr>
      <vt:lpstr>TOTAL_WORKLOAD</vt:lpstr>
      <vt:lpstr>UD_CAL1</vt:lpstr>
      <vt:lpstr>UD_CAL2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사용자</dc:creator>
  <cp:lastModifiedBy>PC</cp:lastModifiedBy>
  <cp:lastPrinted>2019-08-24T08:53:04Z</cp:lastPrinted>
  <dcterms:created xsi:type="dcterms:W3CDTF">2018-02-18T09:45:14Z</dcterms:created>
  <dcterms:modified xsi:type="dcterms:W3CDTF">2020-04-18T11:35:39Z</dcterms:modified>
</cp:coreProperties>
</file>